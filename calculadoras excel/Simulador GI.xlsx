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###"/>
    <numFmt numFmtId="165" formatCode="&quot;$&quot;#,##0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6" fillId="4" borderId="1" applyAlignment="1" applyProtection="1" pivotButton="0" quotePrefix="0" xfId="0">
      <alignment horizontal="center" vertical="center"/>
      <protection locked="0" hidden="0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4" customWidth="1" min="9" max="9"/>
    <col width="15" customWidth="1" min="10" max="10"/>
    <col width="16" customWidth="1" min="11" max="11"/>
    <col width="15" customWidth="1" min="12" max="12"/>
    <col width="26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El volumen en lotes y el volumen en pesos son la misma magnitud: se escribe el volumen en lotes y el importe en pesos se ajusta.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lista.",IF(SUMPRODUCT(($D$11:$D$16&gt;0)*($F$11:$F$16=0))&gt;0,"⚠ Hay una operación con volumen y sin precio de entrada.",IF(SUMPRODUCT(($F$11:$F$16&gt;0)*(ABS($F$11:$F$16/$P$7-1)&gt;0.1))&gt;0,"⚠ Un precio de entrada difiere en más de 10% del precio de referencia ($"&amp;FIXED($P$7,$P$2)&amp;"). Verifique que corresponda al instrumento seleccionado.",IF(SUMPRODUCT(--(MOD(ROUND($D$11:$D$16*100,6),1)&lt;&gt;0))&gt;0,"⚠ Hay un volumen que no es múltiplo de 0,01 lotes, el paso mínimo de MT5.",IF($L$20&gt;$F$5,"⚠ El margen requerido excede el capital de la cuenta.","✓ "&amp;COUNTIF($D$11:$D$16,"&gt;0")&amp;" operación(es) sobre "&amp;$P$1&amp;". El volumen en lotes es el que se ingresa en MT5.")))))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O7" t="inlineStr">
        <is>
          <t>precio_ref</t>
        </is>
      </c>
      <c r="P7">
        <f>IFERROR(VLOOKUP($F$4,Datos!$A:$K,8,FALSE),0)</f>
        <v/>
      </c>
    </row>
    <row r="8">
      <c r="O8" t="inlineStr">
        <is>
          <t>swap_modo</t>
        </is>
      </c>
      <c r="P8">
        <f>IFERROR(VLOOKUP($F$4,Datos!$A:$K,9,FALSE),0)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3" t="inlineStr">
        <is>
          <t>COSTOS</t>
        </is>
      </c>
      <c r="K9" s="13" t="n"/>
      <c r="L9" s="13" t="n"/>
      <c r="M9" s="14" t="n"/>
      <c r="O9" t="inlineStr">
        <is>
          <t>swap_compra</t>
        </is>
      </c>
      <c r="P9">
        <f>IFERROR(VLOOKUP($F$4,Datos!$A:$K,10,FALSE),0)</f>
        <v/>
      </c>
    </row>
    <row r="10" ht="34" customHeight="1">
      <c r="C10" s="15" t="inlineStr">
        <is>
          <t>DIRECCIÓN</t>
        </is>
      </c>
      <c r="D10" s="15" t="inlineStr">
        <is>
          <t>VOLUMEN EN LOTES</t>
        </is>
      </c>
      <c r="E10" s="15" t="inlineStr">
        <is>
          <t>VOLUMEN EN CLP</t>
        </is>
      </c>
      <c r="F10" s="15" t="inlineStr">
        <is>
          <t>PRECIO DE ENTRADA</t>
        </is>
      </c>
      <c r="G10" s="15" t="inlineStr">
        <is>
          <t>PRECIO DE SALIDA</t>
        </is>
      </c>
      <c r="H10" s="15" t="inlineStr">
        <is>
          <t>DÍAS DE MANTENCIÓN</t>
        </is>
      </c>
      <c r="I10" s="15" t="inlineStr">
        <is>
          <t>RESULTADO BRUTO</t>
        </is>
      </c>
      <c r="J10" s="16" t="inlineStr">
        <is>
          <t>COSTO DE APERTURA (SPREAD)</t>
        </is>
      </c>
      <c r="K10" s="16" t="inlineStr">
        <is>
          <t>COSTO DE MANTENCIÓN (SWAP)</t>
        </is>
      </c>
      <c r="L10" s="16" t="inlineStr">
        <is>
          <t>RESULTADO NETO</t>
        </is>
      </c>
      <c r="M10" s="15" t="inlineStr">
        <is>
          <t>OBSERVACIÓN</t>
        </is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4" t="inlineStr">
        <is>
          <t>COMPRA</t>
        </is>
      </c>
      <c r="D11" s="17" t="n">
        <v>0.54</v>
      </c>
      <c r="E11" s="9">
        <f>IF($D11=0,"",$D11*$F11*$P$4*$P$5)</f>
        <v/>
      </c>
      <c r="F11" s="18" t="n">
        <v>918.75</v>
      </c>
      <c r="G11" s="18" t="n">
        <v>923.75</v>
      </c>
      <c r="H11" s="19" t="n">
        <v>2</v>
      </c>
      <c r="I11" s="9">
        <f>IF(OR($D11=0,$G11=0),"",IF($C11="COMPRA",$G11-$F11,$F11-$G11)*$D11*$P$4)</f>
        <v/>
      </c>
      <c r="J11" s="9">
        <f>IF($D11=0,"",$D11*$P$6*$P$4)</f>
        <v/>
      </c>
      <c r="K11" s="9">
        <f>IF(OR($D11=0,$H11=0),"",-IF($C11="VENTA",$P$10,$P$9)*IF($P$8=1,$D11*POWER(10,-$P$2)*$P$4,$D11*$F11*$P$4/100/360)*$H11)</f>
        <v/>
      </c>
      <c r="L11" s="9">
        <f>IF($D11=0,"",N($I11)-N($J11)-N($K11))</f>
        <v/>
      </c>
      <c r="M11" s="20">
        <f>IF(OR($D11=0,$G11=0),"",IF(AND($C11="COMPRA",$G11&lt;$F11),"precio de salida inferior a la entrada: resultado negativo en una compra",IF(AND($C11="VENTA",$G11&gt;$F11),"precio de salida superior a la entrada: resultado negativo en una venta","")))</f>
        <v/>
      </c>
    </row>
    <row r="12" ht="24" customHeight="1">
      <c r="C12" s="4" t="inlineStr">
        <is>
          <t>VENTA</t>
        </is>
      </c>
      <c r="D12" s="17" t="n">
        <v>0.43</v>
      </c>
      <c r="E12" s="9">
        <f>IF($D12=0,"",$D12*$F12*$P$4*$P$5)</f>
        <v/>
      </c>
      <c r="F12" s="18" t="n">
        <v>925.75</v>
      </c>
      <c r="G12" s="18" t="n">
        <v>922.75</v>
      </c>
      <c r="H12" s="19" t="n">
        <v>1</v>
      </c>
      <c r="I12" s="9">
        <f>IF(OR($D12=0,$G12=0),"",IF($C12="COMPRA",$G12-$F12,$F12-$G12)*$D12*$P$4)</f>
        <v/>
      </c>
      <c r="J12" s="9">
        <f>IF($D12=0,"",$D12*$P$6*$P$4)</f>
        <v/>
      </c>
      <c r="K12" s="9">
        <f>IF(OR($D12=0,$H12=0),"",-IF($C12="VENTA",$P$10,$P$9)*IF($P$8=1,$D12*POWER(10,-$P$2)*$P$4,$D12*$F12*$P$4/100/360)*$H12)</f>
        <v/>
      </c>
      <c r="L12" s="9">
        <f>IF($D12=0,"",N($I12)-N($J12)-N($K12))</f>
        <v/>
      </c>
      <c r="M12" s="20">
        <f>IF(OR($D12=0,$G12=0),"",IF(AND($C12="COMPRA",$G12&lt;$F12),"precio de salida inferior a la entrada: resultado negativo en una compra",IF(AND($C12="VENTA",$G12&gt;$F12),"precio de salida superior a la entrada: resultado negativo en una venta","")))</f>
        <v/>
      </c>
    </row>
    <row r="13" ht="24" customHeight="1">
      <c r="C13" s="4" t="inlineStr">
        <is>
          <t>COMPRA</t>
        </is>
      </c>
      <c r="D13" s="17" t="n">
        <v>0.32</v>
      </c>
      <c r="E13" s="9">
        <f>IF($D13=0,"",$D13*$F13*$P$4*$P$5)</f>
        <v/>
      </c>
      <c r="F13" s="18" t="n">
        <v>921.75</v>
      </c>
      <c r="G13" s="18" t="n">
        <v>920.25</v>
      </c>
      <c r="H13" s="19" t="n">
        <v>0</v>
      </c>
      <c r="I13" s="9">
        <f>IF(OR($D13=0,$G13=0),"",IF($C13="COMPRA",$G13-$F13,$F13-$G13)*$D13*$P$4)</f>
        <v/>
      </c>
      <c r="J13" s="9">
        <f>IF($D13=0,"",$D13*$P$6*$P$4)</f>
        <v/>
      </c>
      <c r="K13" s="9">
        <f>IF(OR($D13=0,$H13=0),"",-IF($C13="VENTA",$P$10,$P$9)*IF($P$8=1,$D13*POWER(10,-$P$2)*$P$4,$D13*$F13*$P$4/100/360)*$H13)</f>
        <v/>
      </c>
      <c r="L13" s="9">
        <f>IF($D13=0,"",N($I13)-N($J13)-N($K13))</f>
        <v/>
      </c>
      <c r="M13" s="20">
        <f>IF(OR($D13=0,$G13=0),"",IF(AND($C13="COMPRA",$G13&lt;$F13),"precio de salida inferior a la entrada: resultado negativo en una compra",IF(AND($C13="VENTA",$G13&gt;$F13),"precio de salida superior a la entrada: resultado negativo en una venta","")))</f>
        <v/>
      </c>
    </row>
    <row r="14" ht="24" customHeight="1">
      <c r="C14" s="4" t="n"/>
      <c r="D14" s="17" t="n"/>
      <c r="E14" s="9">
        <f>IF($D14=0,"",$D14*$F14*$P$4*$P$5)</f>
        <v/>
      </c>
      <c r="F14" s="18" t="n"/>
      <c r="G14" s="18" t="n"/>
      <c r="H14" s="19" t="n"/>
      <c r="I14" s="9">
        <f>IF(OR($D14=0,$G14=0),"",IF($C14="COMPRA",$G14-$F14,$F14-$G14)*$D14*$P$4)</f>
        <v/>
      </c>
      <c r="J14" s="9">
        <f>IF($D14=0,"",$D14*$P$6*$P$4)</f>
        <v/>
      </c>
      <c r="K14" s="9">
        <f>IF(OR($D14=0,$H14=0),"",-IF($C14="VENTA",$P$10,$P$9)*IF($P$8=1,$D14*POWER(10,-$P$2)*$P$4,$D14*$F14*$P$4/100/360)*$H14)</f>
        <v/>
      </c>
      <c r="L14" s="9">
        <f>IF($D14=0,"",N($I14)-N($J14)-N($K14))</f>
        <v/>
      </c>
      <c r="M14" s="20">
        <f>IF(OR($D14=0,$G14=0),"",IF(AND($C14="COMPRA",$G14&lt;$F14),"precio de salida inferior a la entrada: resultado negativo en una compra",IF(AND($C14="VENTA",$G14&gt;$F14),"precio de salida superior a la entrada: resultado negativo en una venta","")))</f>
        <v/>
      </c>
    </row>
    <row r="15" ht="24" customHeight="1">
      <c r="C15" s="4" t="n"/>
      <c r="D15" s="17" t="n"/>
      <c r="E15" s="9">
        <f>IF($D15=0,"",$D15*$F15*$P$4*$P$5)</f>
        <v/>
      </c>
      <c r="F15" s="18" t="n"/>
      <c r="G15" s="18" t="n"/>
      <c r="H15" s="19" t="n"/>
      <c r="I15" s="9">
        <f>IF(OR($D15=0,$G15=0),"",IF($C15="COMPRA",$G15-$F15,$F15-$G15)*$D15*$P$4)</f>
        <v/>
      </c>
      <c r="J15" s="9">
        <f>IF($D15=0,"",$D15*$P$6*$P$4)</f>
        <v/>
      </c>
      <c r="K15" s="9">
        <f>IF(OR($D15=0,$H15=0),"",-IF($C15="VENTA",$P$10,$P$9)*IF($P$8=1,$D15*POWER(10,-$P$2)*$P$4,$D15*$F15*$P$4/100/360)*$H15)</f>
        <v/>
      </c>
      <c r="L15" s="9">
        <f>IF($D15=0,"",N($I15)-N($J15)-N($K15))</f>
        <v/>
      </c>
      <c r="M15" s="20">
        <f>IF(OR($D15=0,$G15=0),"",IF(AND($C15="COMPRA",$G15&lt;$F15),"precio de salida inferior a la entrada: resultado negativo en una compra",IF(AND($C15="VENTA",$G15&gt;$F15),"precio de salida superior a la entrada: resultado negativo en una venta","")))</f>
        <v/>
      </c>
    </row>
    <row r="16" ht="24" customHeight="1">
      <c r="C16" s="4" t="n"/>
      <c r="D16" s="17" t="n"/>
      <c r="E16" s="9">
        <f>IF($D16=0,"",$D16*$F16*$P$4*$P$5)</f>
        <v/>
      </c>
      <c r="F16" s="18" t="n"/>
      <c r="G16" s="18" t="n"/>
      <c r="H16" s="19" t="n"/>
      <c r="I16" s="9">
        <f>IF(OR($D16=0,$G16=0),"",IF($C16="COMPRA",$G16-$F16,$F16-$G16)*$D16*$P$4)</f>
        <v/>
      </c>
      <c r="J16" s="9">
        <f>IF($D16=0,"",$D16*$P$6*$P$4)</f>
        <v/>
      </c>
      <c r="K16" s="9">
        <f>IF(OR($D16=0,$H16=0),"",-IF($C16="VENTA",$P$10,$P$9)*IF($P$8=1,$D16*POWER(10,-$P$2)*$P$4,$D16*$F16*$P$4/100/360)*$H16)</f>
        <v/>
      </c>
      <c r="L16" s="9">
        <f>IF($D16=0,"",N($I16)-N($J16)-N($K16))</f>
        <v/>
      </c>
      <c r="M16" s="20">
        <f>IF(OR($D16=0,$G16=0),"",IF(AND($C16="COMPRA",$G16&lt;$F16),"precio de salida inferior a la entrada: resultado negativo en una compra",IF(AND($C16="VENTA",$G16&gt;$F16),"precio de salida superior a la entrada: resultado negativo en una venta","")))</f>
        <v/>
      </c>
    </row>
    <row r="17" ht="24" customHeight="1">
      <c r="C17" s="21" t="inlineStr">
        <is>
          <t>TOTALES</t>
        </is>
      </c>
      <c r="D17" s="22">
        <f>SUM(D11:D16)</f>
        <v/>
      </c>
      <c r="E17" s="23">
        <f>SUM(E11:E16)</f>
        <v/>
      </c>
      <c r="F17" s="21" t="n"/>
      <c r="G17" s="21" t="n"/>
      <c r="H17" s="21" t="n"/>
      <c r="I17" s="23">
        <f>SUM(I11:I16)</f>
        <v/>
      </c>
      <c r="J17" s="24">
        <f>SUM(J11:J16)</f>
        <v/>
      </c>
      <c r="K17" s="24">
        <f>SUM(K11:K16)</f>
        <v/>
      </c>
      <c r="L17" s="24">
        <f>SUM(L11:L16)</f>
        <v/>
      </c>
      <c r="M17" s="21" t="n"/>
    </row>
    <row r="19" ht="22" customHeight="1">
      <c r="I19" s="25" t="inlineStr">
        <is>
          <t>Exposición nocional total</t>
        </is>
      </c>
      <c r="L19" s="9">
        <f>SUMPRODUCT($D$11:$D$16,$F$11:$F$16)*$P$4</f>
        <v/>
      </c>
    </row>
    <row r="20" ht="22" customHeight="1">
      <c r="I20" s="25" t="inlineStr">
        <is>
          <t>Margen requerido (posiciones simultáneas)</t>
        </is>
      </c>
      <c r="L20" s="9">
        <f>$L$19*$P$5</f>
        <v/>
      </c>
    </row>
    <row r="21" ht="22" customHeight="1">
      <c r="I21" s="25" t="inlineStr">
        <is>
          <t>Resultado neto del periodo</t>
        </is>
      </c>
      <c r="L21" s="9">
        <f>$L$17</f>
        <v/>
      </c>
    </row>
    <row r="22" ht="22" customHeight="1">
      <c r="I22" s="26" t="inlineStr">
        <is>
          <t>Patrimonio final</t>
        </is>
      </c>
      <c r="L22" s="27">
        <f>$F$5+$L$17</f>
        <v/>
      </c>
    </row>
    <row r="24" ht="30" customHeight="1">
      <c r="C24" s="28" t="inlineStr">
        <is>
          <t>Especificaciones del broker al 2026-08-19 21:26 hora Chile. Celdas crema: campos editables; el resto son fórmulas. VOLUMEN EN LOTES y VOLUMEN EN CLP son la misma magnitud: se escribe el volumen en lotes, en múltiplos de 0,01, y el importe en pesos se ajusta. El COSTO DE MANTENCIÓN (SWAP) se estima por días calendario. Este simulador no incorpora stop loss.</t>
        </is>
      </c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I19:K19"/>
    <mergeCell ref="C9:I9"/>
    <mergeCell ref="C5:E5"/>
    <mergeCell ref="I22:K22"/>
    <mergeCell ref="C7:M7"/>
    <mergeCell ref="I5:K5"/>
    <mergeCell ref="F5:G5"/>
    <mergeCell ref="C4:E4"/>
    <mergeCell ref="I20:K20"/>
    <mergeCell ref="C24:M24"/>
    <mergeCell ref="I4:K4"/>
    <mergeCell ref="J9:L9"/>
    <mergeCell ref="I21:K21"/>
    <mergeCell ref="C2:L2"/>
    <mergeCell ref="C1:L1"/>
    <mergeCell ref="I6:K6"/>
  </mergeCells>
  <conditionalFormatting sqref="I11:L17">
    <cfRule type="expression" priority="1" dxfId="0">
      <formula>AND(I11&lt;&gt;"",I11&lt;0)</formula>
    </cfRule>
  </conditionalFormatting>
  <conditionalFormatting sqref="M11:M16">
    <cfRule type="expression" priority="2" dxfId="0">
      <formula>$M11&lt;&gt;""</formula>
    </cfRule>
  </conditionalFormatting>
  <conditionalFormatting sqref="L22">
    <cfRule type="expression" priority="3" dxfId="0">
      <formula>$L$22&lt;$F$5</formula>
    </cfRule>
  </conditionalFormatting>
  <dataValidations count="4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D11 D12 D13 D14 D15 D16" showDropDown="0" showInputMessage="0" showErrorMessage="1" allowBlank="1" errorTitle="Volumen no válido" error="El volumen mínimo que acepta MT5 es 0,01 lotes, y debe ser múltiplo de 0,01." type="decimal" operator="greaterThanOrEqual">
      <formula1>0.01</formula1>
    </dataValidation>
    <dataValidation sqref="H11 H12 H13 H14 H15 H16" showDropDown="0" showInputMessage="0" showErrorMessage="1" allowBlank="1" errorTitle="Días no válidos" error="Indique los días completos de mantención de la posición (0 si se abre y cierra en la misma jornada)." type="whole" operator="between">
      <formula1>0</formula1>
      <formula2>3650</formula2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9" t="inlineStr">
        <is>
          <t>INSTRUMENTO</t>
        </is>
      </c>
      <c r="B1" s="29" t="inlineStr">
        <is>
          <t>TICKER MT5</t>
        </is>
      </c>
      <c r="C1" s="29" t="inlineStr">
        <is>
          <t>DECIMALES</t>
        </is>
      </c>
      <c r="D1" s="29" t="inlineStr">
        <is>
          <t>TAMAÑO DE CONTRATO (1 lote)</t>
        </is>
      </c>
      <c r="E1" s="29" t="inlineStr">
        <is>
          <t>VALOR EN CLP DE 1,0 DE PRECIO (POR LOTE)</t>
        </is>
      </c>
      <c r="F1" s="29" t="inlineStr">
        <is>
          <t>MARGEN</t>
        </is>
      </c>
      <c r="G1" s="29" t="inlineStr">
        <is>
          <t>SPREAD</t>
        </is>
      </c>
      <c r="H1" s="29" t="inlineStr">
        <is>
          <t>PRECIO DE REFERENCIA</t>
        </is>
      </c>
      <c r="I1" s="29" t="inlineStr">
        <is>
          <t>MODO SWAP</t>
        </is>
      </c>
      <c r="J1" s="29" t="inlineStr">
        <is>
          <t>SWAP COMPRA</t>
        </is>
      </c>
      <c r="K1" s="29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30" t="n">
        <v>0.01</v>
      </c>
      <c r="G2" s="31" t="n">
        <v>1</v>
      </c>
      <c r="H2" s="31" t="n">
        <v>921.75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578102.66</v>
      </c>
      <c r="F3" s="30" t="n">
        <v>0.010063</v>
      </c>
      <c r="G3" s="31" t="n">
        <v>0.04</v>
      </c>
      <c r="H3" s="31" t="n">
        <v>158.444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92175000</v>
      </c>
      <c r="F4" s="30" t="n">
        <v>0.01</v>
      </c>
      <c r="G4" s="31" t="n">
        <v>0.00026</v>
      </c>
      <c r="H4" s="31" t="n">
        <v>1.16785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92175000</v>
      </c>
      <c r="F5" s="30" t="n">
        <v>0.01</v>
      </c>
      <c r="G5" s="31" t="n">
        <v>0.0005</v>
      </c>
      <c r="H5" s="31" t="n">
        <v>1.36057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92075</v>
      </c>
      <c r="F6" s="30" t="n">
        <v>0.045049</v>
      </c>
      <c r="G6" s="31" t="n">
        <v>0.6</v>
      </c>
      <c r="H6" s="31" t="n">
        <v>4498.24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4603750</v>
      </c>
      <c r="F7" s="30" t="n">
        <v>0.045049</v>
      </c>
      <c r="G7" s="31" t="n">
        <v>0.05</v>
      </c>
      <c r="H7" s="31" t="n">
        <v>66.761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920750</v>
      </c>
      <c r="F8" s="30" t="n">
        <v>0.015016</v>
      </c>
      <c r="G8" s="31" t="n">
        <v>0.15</v>
      </c>
      <c r="H8" s="31" t="n">
        <v>85.39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920.75</v>
      </c>
      <c r="F9" s="30" t="n">
        <v>0.015016</v>
      </c>
      <c r="G9" s="31" t="n">
        <v>79.27</v>
      </c>
      <c r="H9" s="31" t="n">
        <v>69364.77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920.75</v>
      </c>
      <c r="F10" s="30" t="n">
        <v>0.050054</v>
      </c>
      <c r="G10" s="31" t="n">
        <v>1</v>
      </c>
      <c r="H10" s="31" t="n">
        <v>29571.09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920.75</v>
      </c>
      <c r="F11" s="30" t="n">
        <v>0.050054</v>
      </c>
      <c r="G11" s="31" t="n">
        <v>1</v>
      </c>
      <c r="H11" s="31" t="n">
        <v>7729.75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920.75</v>
      </c>
      <c r="F12" s="30" t="n">
        <v>0.050054</v>
      </c>
      <c r="G12" s="31" t="n">
        <v>7</v>
      </c>
      <c r="H12" s="31" t="n">
        <v>53506.51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46037.5</v>
      </c>
      <c r="F13" s="30" t="n">
        <v>0.005005</v>
      </c>
      <c r="G13" s="31" t="n">
        <v>0.32</v>
      </c>
      <c r="H13" s="31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46037.5</v>
      </c>
      <c r="F14" s="30" t="n">
        <v>0.005005</v>
      </c>
      <c r="G14" s="31" t="n">
        <v>0.6</v>
      </c>
      <c r="H14" s="31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46037.5</v>
      </c>
      <c r="F15" s="30" t="n">
        <v>0.005005</v>
      </c>
      <c r="G15" s="31" t="n">
        <v>0.9</v>
      </c>
      <c r="H15" s="31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46037.5</v>
      </c>
      <c r="F16" s="30" t="n">
        <v>0.007508</v>
      </c>
      <c r="G16" s="31" t="n">
        <v>0.31</v>
      </c>
      <c r="H16" s="31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46037.5</v>
      </c>
      <c r="F17" s="30" t="n">
        <v>0.005005</v>
      </c>
      <c r="G17" s="31" t="n">
        <v>0.26</v>
      </c>
      <c r="H17" s="31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46037.5</v>
      </c>
      <c r="F18" s="30" t="n">
        <v>0.005005</v>
      </c>
      <c r="G18" s="31" t="n">
        <v>7</v>
      </c>
      <c r="H18" s="31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46037.5</v>
      </c>
      <c r="F19" s="30" t="n">
        <v>0.002503</v>
      </c>
      <c r="G19" s="31" t="n">
        <v>0.25</v>
      </c>
      <c r="H19" s="31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46037.5</v>
      </c>
      <c r="F20" s="30" t="n">
        <v>0.005005</v>
      </c>
      <c r="G20" s="31" t="n">
        <v>0.08</v>
      </c>
      <c r="H20" s="31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46037.5</v>
      </c>
      <c r="F21" s="30" t="n">
        <v>0.002503</v>
      </c>
      <c r="G21" s="31" t="n">
        <v>0.7000000000000001</v>
      </c>
      <c r="H21" s="31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46037.5</v>
      </c>
      <c r="F22" s="30" t="n">
        <v>0.005005</v>
      </c>
      <c r="G22" s="31" t="n">
        <v>0.11</v>
      </c>
      <c r="H22" s="31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46037.5</v>
      </c>
      <c r="F23" s="30" t="n">
        <v>0.005005</v>
      </c>
      <c r="G23" s="31" t="n">
        <v>0.89</v>
      </c>
      <c r="H23" s="31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46037.5</v>
      </c>
      <c r="F24" s="30" t="n">
        <v>0.002503</v>
      </c>
      <c r="G24" s="31" t="n">
        <v>0.45</v>
      </c>
      <c r="H24" s="31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46037.5</v>
      </c>
      <c r="F25" s="30" t="n">
        <v>0.002503</v>
      </c>
      <c r="G25" s="31" t="n">
        <v>0.21</v>
      </c>
      <c r="H25" s="31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46037.5</v>
      </c>
      <c r="F26" s="30" t="n">
        <v>0.005005</v>
      </c>
      <c r="G26" s="31" t="n">
        <v>0.77</v>
      </c>
      <c r="H26" s="31" t="n">
        <v>582.4299999999999</v>
      </c>
      <c r="I26" t="n">
        <v>5</v>
      </c>
      <c r="J26" t="n">
        <v>-5.1</v>
      </c>
      <c r="K26" t="n">
        <v>-5.1</v>
      </c>
    </row>
    <row r="28">
      <c r="A28" s="32" t="inlineStr">
        <is>
          <t>Actualizado desde MT5 (cuenta 51142, CLP) el 2026-08-19 21:26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2026-08-20T01:26:29Z</dcterms:created>
  <dcterms:modified xsi:type="dcterms:W3CDTF">2026-08-20T01:26:29Z</dcterms:modified>
</cp:coreProperties>
</file>