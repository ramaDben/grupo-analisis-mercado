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###"/>
    <numFmt numFmtId="165" formatCode="&quot;$&quot;#,##0"/>
    <numFmt numFmtId="166" formatCode="yyyy-mm-dd"/>
    <numFmt numFmtId="167" formatCode="dd-mm-yy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7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pivotButton="0" quotePrefix="0" xfId="0"/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167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2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2" customWidth="1" min="3" max="3"/>
    <col width="13" customWidth="1" min="4" max="4"/>
    <col width="15" customWidth="1" min="5" max="5"/>
    <col width="12" customWidth="1" min="6" max="6"/>
    <col width="12" customWidth="1" min="7" max="7"/>
    <col width="13" customWidth="1" min="8" max="8"/>
    <col width="11" customWidth="1" min="9" max="9"/>
    <col width="13" customWidth="1" min="10" max="10"/>
    <col width="14" customWidth="1" min="11" max="11"/>
    <col width="16" customWidth="1" min="12" max="12"/>
    <col width="28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y los costos se calculan automáticamente.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lista.",IF(SUMPRODUCT(($E$10:$E$15&gt;0)*($F$10:$F$15=0))&gt;0,"⚠ Hay una operación con capital comprometido y sin precio de entrada.",IF(SUMPRODUCT(($F$10:$F$15&gt;0)*(ABS($F$10:$F$15/$P$7-1)&gt;0.1))&gt;0,"⚠ Un precio de entrada difiere en más de 10% del precio de referencia ($"&amp;FIXED($P$7,$P$2)&amp;"). Verifique que corresponda al instrumento seleccionado.",IF(SUMPRODUCT(($E$10:$E$15&gt;0)*($I$10:$I$15=0))&gt;0,"⚠ Hay una operación bajo el volumen mínimo de 0,01 lotes, que requiere $"&amp;FIXED(0.01*$P$7*$P$4*$P$5,0)&amp;".",IF($L$19&gt;$F$5,"⚠ El margen requerido excede el capital de la cuenta.","✓ "&amp;COUNTIF($I$10:$I$15,"&gt;0")&amp;" operación(es) sobre "&amp;$P$1&amp;". El volumen indicado es el que se ingresa en MT5.")))))</f>
        <v/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O7" t="inlineStr">
        <is>
          <t>precio_ref</t>
        </is>
      </c>
      <c r="P7">
        <f>IFERROR(VLOOKUP($F$4,Datos!$A:$K,8,FALSE),0)</f>
        <v/>
      </c>
    </row>
    <row r="8" ht="24" customHeight="1">
      <c r="C8" s="11" t="inlineStr">
        <is>
          <t>OPERACIONES DEL PERIODO   ·   cada fila es una operación independiente, con su fecha, dirección y capital</t>
        </is>
      </c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O8" t="inlineStr">
        <is>
          <t>swap_modo</t>
        </is>
      </c>
      <c r="P8">
        <f>IFERROR(VLOOKUP($F$4,Datos!$A:$K,9,FALSE),0)</f>
        <v/>
      </c>
    </row>
    <row r="9" ht="34" customHeight="1">
      <c r="C9" s="12" t="inlineStr">
        <is>
          <t>FECHA</t>
        </is>
      </c>
      <c r="D9" s="12" t="inlineStr">
        <is>
          <t>DIRECCIÓN</t>
        </is>
      </c>
      <c r="E9" s="12" t="inlineStr">
        <is>
          <t>CAPITAL COMPROMETIDO</t>
        </is>
      </c>
      <c r="F9" s="12" t="inlineStr">
        <is>
          <t>PRECIO DE ENTRADA</t>
        </is>
      </c>
      <c r="G9" s="12" t="inlineStr">
        <is>
          <t>PRECIO DE SALIDA</t>
        </is>
      </c>
      <c r="H9" s="12" t="inlineStr">
        <is>
          <t>DÍAS DE MANTENCIÓN</t>
        </is>
      </c>
      <c r="I9" s="12" t="inlineStr">
        <is>
          <t>VOLUMEN (LOTES)</t>
        </is>
      </c>
      <c r="J9" s="12" t="inlineStr">
        <is>
          <t>COSTO DE APERTURA</t>
        </is>
      </c>
      <c r="K9" s="12" t="inlineStr">
        <is>
          <t>COSTO DE MANTENCIÓN</t>
        </is>
      </c>
      <c r="L9" s="12" t="inlineStr">
        <is>
          <t>RESULTADO NETO</t>
        </is>
      </c>
      <c r="M9" s="12" t="inlineStr">
        <is>
          <t>OBSERVACIÓN</t>
        </is>
      </c>
      <c r="O9" t="inlineStr">
        <is>
          <t>swap_compra</t>
        </is>
      </c>
      <c r="P9">
        <f>IFERROR(VLOOKUP($F$4,Datos!$A:$K,10,FALSE),0)</f>
        <v/>
      </c>
    </row>
    <row r="10" ht="24" customHeight="1">
      <c r="C10" s="13" t="n">
        <v>46249</v>
      </c>
      <c r="D10" s="4" t="inlineStr">
        <is>
          <t>COMPRA</t>
        </is>
      </c>
      <c r="E10" s="8" t="n">
        <v>500000</v>
      </c>
      <c r="F10" s="14" t="n">
        <v>919</v>
      </c>
      <c r="G10" s="14" t="n">
        <v>924</v>
      </c>
      <c r="H10" s="15" t="n">
        <v>2</v>
      </c>
      <c r="I10" s="16">
        <f>IFERROR(MAX(0,ROUNDDOWN($E10/($F10*$P$4*$P$5),2)),0)</f>
        <v/>
      </c>
      <c r="J10" s="9">
        <f>IF($I10=0,"",$I10*$P$6*$P$4)</f>
        <v/>
      </c>
      <c r="K10" s="9">
        <f>IF(OR($I10=0,$H10=0),"",-IF($D10="VENTA",$P$10,$P$9)*IF($P$8=1,$I10*POWER(10,-$P$2)*$P$4,$I10*$F10*$P$4/100/360)*$H10)</f>
        <v/>
      </c>
      <c r="L10" s="9">
        <f>IF($I10=0,"",IF($D10="COMPRA",$G10-$F10,$F10-$G10)*$I10*$P$4-N($J10)-N($K10))</f>
        <v/>
      </c>
      <c r="M10" s="17">
        <f>IF(OR($I10=0,$G10=""),"",IF(AND($D10="COMPRA",$G10&lt;$F10),"precio de salida inferior a la entrada: resultado negativo en una compra",IF(AND($D10="VENTA",$G10&gt;$F10),"precio de salida superior a la entrada: resultado negativo en una venta","")))</f>
        <v/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13" t="n">
        <v>46251</v>
      </c>
      <c r="D11" s="4" t="inlineStr">
        <is>
          <t>VENTA</t>
        </is>
      </c>
      <c r="E11" s="8" t="n">
        <v>400000</v>
      </c>
      <c r="F11" s="14" t="n">
        <v>926</v>
      </c>
      <c r="G11" s="14" t="n">
        <v>923</v>
      </c>
      <c r="H11" s="15" t="n">
        <v>1</v>
      </c>
      <c r="I11" s="16">
        <f>IFERROR(MAX(0,ROUNDDOWN($E11/($F11*$P$4*$P$5),2)),0)</f>
        <v/>
      </c>
      <c r="J11" s="9">
        <f>IF($I11=0,"",$I11*$P$6*$P$4)</f>
        <v/>
      </c>
      <c r="K11" s="9">
        <f>IF(OR($I11=0,$H11=0),"",-IF($D11="VENTA",$P$10,$P$9)*IF($P$8=1,$I11*POWER(10,-$P$2)*$P$4,$I11*$F11*$P$4/100/360)*$H11)</f>
        <v/>
      </c>
      <c r="L11" s="9">
        <f>IF($I11=0,"",IF($D11="COMPRA",$G11-$F11,$F11-$G11)*$I11*$P$4-N($J11)-N($K11))</f>
        <v/>
      </c>
      <c r="M11" s="17">
        <f>IF(OR($I11=0,$G11=""),"",IF(AND($D11="COMPRA",$G11&lt;$F11),"precio de salida inferior a la entrada: resultado negativo en una compra",IF(AND($D11="VENTA",$G11&gt;$F11),"precio de salida superior a la entrada: resultado negativo en una venta","")))</f>
        <v/>
      </c>
    </row>
    <row r="12" ht="24" customHeight="1">
      <c r="C12" s="13" t="n">
        <v>46252</v>
      </c>
      <c r="D12" s="4" t="inlineStr">
        <is>
          <t>COMPRA</t>
        </is>
      </c>
      <c r="E12" s="8" t="n">
        <v>300000</v>
      </c>
      <c r="F12" s="14" t="n">
        <v>922</v>
      </c>
      <c r="G12" s="14" t="n">
        <v>920.5</v>
      </c>
      <c r="H12" s="15" t="n">
        <v>0</v>
      </c>
      <c r="I12" s="16">
        <f>IFERROR(MAX(0,ROUNDDOWN($E12/($F12*$P$4*$P$5),2)),0)</f>
        <v/>
      </c>
      <c r="J12" s="9">
        <f>IF($I12=0,"",$I12*$P$6*$P$4)</f>
        <v/>
      </c>
      <c r="K12" s="9">
        <f>IF(OR($I12=0,$H12=0),"",-IF($D12="VENTA",$P$10,$P$9)*IF($P$8=1,$I12*POWER(10,-$P$2)*$P$4,$I12*$F12*$P$4/100/360)*$H12)</f>
        <v/>
      </c>
      <c r="L12" s="9">
        <f>IF($I12=0,"",IF($D12="COMPRA",$G12-$F12,$F12-$G12)*$I12*$P$4-N($J12)-N($K12))</f>
        <v/>
      </c>
      <c r="M12" s="17">
        <f>IF(OR($I12=0,$G12=""),"",IF(AND($D12="COMPRA",$G12&lt;$F12),"precio de salida inferior a la entrada: resultado negativo en una compra",IF(AND($D12="VENTA",$G12&gt;$F12),"precio de salida superior a la entrada: resultado negativo en una venta","")))</f>
        <v/>
      </c>
    </row>
    <row r="13" ht="24" customHeight="1">
      <c r="C13" s="13" t="n"/>
      <c r="D13" s="4" t="n"/>
      <c r="E13" s="8" t="n"/>
      <c r="F13" s="14" t="n"/>
      <c r="G13" s="14" t="n"/>
      <c r="H13" s="15" t="n"/>
      <c r="I13" s="16">
        <f>IFERROR(MAX(0,ROUNDDOWN($E13/($F13*$P$4*$P$5),2)),0)</f>
        <v/>
      </c>
      <c r="J13" s="9">
        <f>IF($I13=0,"",$I13*$P$6*$P$4)</f>
        <v/>
      </c>
      <c r="K13" s="9">
        <f>IF(OR($I13=0,$H13=0),"",-IF($D13="VENTA",$P$10,$P$9)*IF($P$8=1,$I13*POWER(10,-$P$2)*$P$4,$I13*$F13*$P$4/100/360)*$H13)</f>
        <v/>
      </c>
      <c r="L13" s="9">
        <f>IF($I13=0,"",IF($D13="COMPRA",$G13-$F13,$F13-$G13)*$I13*$P$4-N($J13)-N($K13))</f>
        <v/>
      </c>
      <c r="M13" s="17">
        <f>IF(OR($I13=0,$G13=""),"",IF(AND($D13="COMPRA",$G13&lt;$F13),"precio de salida inferior a la entrada: resultado negativo en una compra",IF(AND($D13="VENTA",$G13&gt;$F13),"precio de salida superior a la entrada: resultado negativo en una venta","")))</f>
        <v/>
      </c>
    </row>
    <row r="14" ht="24" customHeight="1">
      <c r="C14" s="13" t="n"/>
      <c r="D14" s="4" t="n"/>
      <c r="E14" s="8" t="n"/>
      <c r="F14" s="14" t="n"/>
      <c r="G14" s="14" t="n"/>
      <c r="H14" s="15" t="n"/>
      <c r="I14" s="16">
        <f>IFERROR(MAX(0,ROUNDDOWN($E14/($F14*$P$4*$P$5),2)),0)</f>
        <v/>
      </c>
      <c r="J14" s="9">
        <f>IF($I14=0,"",$I14*$P$6*$P$4)</f>
        <v/>
      </c>
      <c r="K14" s="9">
        <f>IF(OR($I14=0,$H14=0),"",-IF($D14="VENTA",$P$10,$P$9)*IF($P$8=1,$I14*POWER(10,-$P$2)*$P$4,$I14*$F14*$P$4/100/360)*$H14)</f>
        <v/>
      </c>
      <c r="L14" s="9">
        <f>IF($I14=0,"",IF($D14="COMPRA",$G14-$F14,$F14-$G14)*$I14*$P$4-N($J14)-N($K14))</f>
        <v/>
      </c>
      <c r="M14" s="17">
        <f>IF(OR($I14=0,$G14=""),"",IF(AND($D14="COMPRA",$G14&lt;$F14),"precio de salida inferior a la entrada: resultado negativo en una compra",IF(AND($D14="VENTA",$G14&gt;$F14),"precio de salida superior a la entrada: resultado negativo en una venta","")))</f>
        <v/>
      </c>
    </row>
    <row r="15" ht="24" customHeight="1">
      <c r="C15" s="13" t="n"/>
      <c r="D15" s="4" t="n"/>
      <c r="E15" s="8" t="n"/>
      <c r="F15" s="14" t="n"/>
      <c r="G15" s="14" t="n"/>
      <c r="H15" s="15" t="n"/>
      <c r="I15" s="16">
        <f>IFERROR(MAX(0,ROUNDDOWN($E15/($F15*$P$4*$P$5),2)),0)</f>
        <v/>
      </c>
      <c r="J15" s="9">
        <f>IF($I15=0,"",$I15*$P$6*$P$4)</f>
        <v/>
      </c>
      <c r="K15" s="9">
        <f>IF(OR($I15=0,$H15=0),"",-IF($D15="VENTA",$P$10,$P$9)*IF($P$8=1,$I15*POWER(10,-$P$2)*$P$4,$I15*$F15*$P$4/100/360)*$H15)</f>
        <v/>
      </c>
      <c r="L15" s="9">
        <f>IF($I15=0,"",IF($D15="COMPRA",$G15-$F15,$F15-$G15)*$I15*$P$4-N($J15)-N($K15))</f>
        <v/>
      </c>
      <c r="M15" s="17">
        <f>IF(OR($I15=0,$G15=""),"",IF(AND($D15="COMPRA",$G15&lt;$F15),"precio de salida inferior a la entrada: resultado negativo en una compra",IF(AND($D15="VENTA",$G15&gt;$F15),"precio de salida superior a la entrada: resultado negativo en una venta","")))</f>
        <v/>
      </c>
    </row>
    <row r="16" ht="24" customHeight="1">
      <c r="C16" s="18" t="inlineStr">
        <is>
          <t>TOTALES</t>
        </is>
      </c>
      <c r="D16" s="18" t="n"/>
      <c r="E16" s="19">
        <f>SUM(E10:E15)</f>
        <v/>
      </c>
      <c r="F16" s="20" t="n"/>
      <c r="G16" s="20" t="n"/>
      <c r="H16" s="20" t="n"/>
      <c r="I16" s="21">
        <f>SUM(I10:I15)</f>
        <v/>
      </c>
      <c r="J16" s="19">
        <f>SUM(J10:J15)</f>
        <v/>
      </c>
      <c r="K16" s="19">
        <f>SUM(K10:K15)</f>
        <v/>
      </c>
      <c r="L16" s="19">
        <f>SUM(L10:L15)</f>
        <v/>
      </c>
      <c r="M16" s="20" t="n"/>
    </row>
    <row r="18" ht="22" customHeight="1">
      <c r="I18" s="22" t="inlineStr">
        <is>
          <t>Exposición nocional total</t>
        </is>
      </c>
      <c r="L18" s="9">
        <f>SUMPRODUCT($I$10:$I$15,$F$10:$F$15)*$P$4</f>
        <v/>
      </c>
    </row>
    <row r="19" ht="22" customHeight="1">
      <c r="I19" s="22" t="inlineStr">
        <is>
          <t>Margen requerido (posiciones simultáneas)</t>
        </is>
      </c>
      <c r="L19" s="9">
        <f>$L$18*$P$5</f>
        <v/>
      </c>
    </row>
    <row r="20" ht="22" customHeight="1">
      <c r="I20" s="22" t="inlineStr">
        <is>
          <t>Resultado neto del periodo</t>
        </is>
      </c>
      <c r="L20" s="9">
        <f>$L$16</f>
        <v/>
      </c>
    </row>
    <row r="21" ht="22" customHeight="1">
      <c r="I21" s="23" t="inlineStr">
        <is>
          <t>Patrimonio final</t>
        </is>
      </c>
      <c r="L21" s="24">
        <f>$F$5+$L$16</f>
        <v/>
      </c>
    </row>
    <row r="23" ht="30" customHeight="1">
      <c r="C23" s="25" t="inlineStr">
        <is>
          <t>Especificaciones del broker al 2026-08-19 16:07 hora Chile. Celdas crema: campos editables; el resto son fórmulas. El COSTO DE MANTENCIÓN (swap) se estima por días calendario: es exacto en periodos de semanas completas y puede quedar sobre el cargo real en periodos cortos que incluyan un fin de semana. Este simulador no incorpora stop loss.</t>
        </is>
      </c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C8:M8"/>
    <mergeCell ref="I19:K19"/>
    <mergeCell ref="C5:E5"/>
    <mergeCell ref="C16:D16"/>
    <mergeCell ref="C7:M7"/>
    <mergeCell ref="I5:K5"/>
    <mergeCell ref="F5:G5"/>
    <mergeCell ref="C4:E4"/>
    <mergeCell ref="I18:K18"/>
    <mergeCell ref="I4:K4"/>
    <mergeCell ref="C23:M23"/>
    <mergeCell ref="I20:K20"/>
    <mergeCell ref="I21:K21"/>
    <mergeCell ref="C2:L2"/>
    <mergeCell ref="C1:L1"/>
    <mergeCell ref="I6:K6"/>
  </mergeCells>
  <conditionalFormatting sqref="L10:L16">
    <cfRule type="expression" priority="1" dxfId="0">
      <formula>AND($L10&lt;&gt;"",$L10&lt;0)</formula>
    </cfRule>
  </conditionalFormatting>
  <conditionalFormatting sqref="M10:M15">
    <cfRule type="expression" priority="2" dxfId="0">
      <formula>$M10&lt;&gt;""</formula>
    </cfRule>
  </conditionalFormatting>
  <conditionalFormatting sqref="L21">
    <cfRule type="expression" priority="3" dxfId="0">
      <formula>$L$21&lt;$F$5</formula>
    </cfRule>
  </conditionalFormatting>
  <dataValidations count="3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D10 D11 D12 D13 D14 D15" showDropDown="0" showInputMessage="0" showErrorMessage="1" allowBlank="1" errorTitle="Dirección no válida" error="Seleccione COMPRA o VENTA." type="list">
      <formula1>"COMPRA,VENTA"</formula1>
    </dataValidation>
    <dataValidation sqref="H10 H11 H12 H13 H14 H15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7" t="inlineStr">
        <is>
          <t>INSTRUMENTO</t>
        </is>
      </c>
      <c r="B1" s="27" t="inlineStr">
        <is>
          <t>TICKER MT5</t>
        </is>
      </c>
      <c r="C1" s="27" t="inlineStr">
        <is>
          <t>DECIMALES</t>
        </is>
      </c>
      <c r="D1" s="27" t="inlineStr">
        <is>
          <t>TAMAÑO DE CONTRATO (1 lote)</t>
        </is>
      </c>
      <c r="E1" s="27" t="inlineStr">
        <is>
          <t>VALOR EN CLP DE 1,0 DE PRECIO (POR LOTE)</t>
        </is>
      </c>
      <c r="F1" s="27" t="inlineStr">
        <is>
          <t>MARGEN</t>
        </is>
      </c>
      <c r="G1" s="27" t="inlineStr">
        <is>
          <t>SPREAD</t>
        </is>
      </c>
      <c r="H1" s="27" t="inlineStr">
        <is>
          <t>PRECIO DE REFERENCIA</t>
        </is>
      </c>
      <c r="I1" s="27" t="inlineStr">
        <is>
          <t>MODO SWAP</t>
        </is>
      </c>
      <c r="J1" s="27" t="inlineStr">
        <is>
          <t>SWAP COMPRA</t>
        </is>
      </c>
      <c r="K1" s="27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28" t="n">
        <v>0.01</v>
      </c>
      <c r="G2" s="29" t="n">
        <v>1</v>
      </c>
      <c r="H2" s="29" t="n">
        <v>922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579262.16</v>
      </c>
      <c r="F3" s="28" t="n">
        <v>0.010063</v>
      </c>
      <c r="G3" s="29" t="n">
        <v>0.04</v>
      </c>
      <c r="H3" s="29" t="n">
        <v>158.168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92200000</v>
      </c>
      <c r="F4" s="28" t="n">
        <v>0.01</v>
      </c>
      <c r="G4" s="29" t="n">
        <v>0.00026</v>
      </c>
      <c r="H4" s="29" t="n">
        <v>1.16786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92200000</v>
      </c>
      <c r="F5" s="28" t="n">
        <v>0.01</v>
      </c>
      <c r="G5" s="29" t="n">
        <v>0.0005</v>
      </c>
      <c r="H5" s="29" t="n">
        <v>1.36099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92100</v>
      </c>
      <c r="F6" s="28" t="n">
        <v>0.045049</v>
      </c>
      <c r="G6" s="29" t="n">
        <v>0.6</v>
      </c>
      <c r="H6" s="29" t="n">
        <v>4510.01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4605000</v>
      </c>
      <c r="F7" s="28" t="n">
        <v>0.045049</v>
      </c>
      <c r="G7" s="29" t="n">
        <v>0.05</v>
      </c>
      <c r="H7" s="29" t="n">
        <v>66.40900000000001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921000</v>
      </c>
      <c r="F8" s="28" t="n">
        <v>0.015016</v>
      </c>
      <c r="G8" s="29" t="n">
        <v>0.15</v>
      </c>
      <c r="H8" s="29" t="n">
        <v>84.949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921</v>
      </c>
      <c r="F9" s="28" t="n">
        <v>0.015016</v>
      </c>
      <c r="G9" s="29" t="n">
        <v>80.98999999999999</v>
      </c>
      <c r="H9" s="29" t="n">
        <v>68596.38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921</v>
      </c>
      <c r="F10" s="28" t="n">
        <v>0.050054</v>
      </c>
      <c r="G10" s="29" t="n">
        <v>1</v>
      </c>
      <c r="H10" s="29" t="n">
        <v>29461.38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921</v>
      </c>
      <c r="F11" s="28" t="n">
        <v>0.050054</v>
      </c>
      <c r="G11" s="29" t="n">
        <v>1</v>
      </c>
      <c r="H11" s="29" t="n">
        <v>7718.53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921</v>
      </c>
      <c r="F12" s="28" t="n">
        <v>0.050054</v>
      </c>
      <c r="G12" s="29" t="n">
        <v>7</v>
      </c>
      <c r="H12" s="29" t="n">
        <v>53495.51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46050</v>
      </c>
      <c r="F13" s="28" t="n">
        <v>0.005005</v>
      </c>
      <c r="G13" s="29" t="n">
        <v>0.32</v>
      </c>
      <c r="H13" s="29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46050</v>
      </c>
      <c r="F14" s="28" t="n">
        <v>0.005005</v>
      </c>
      <c r="G14" s="29" t="n">
        <v>0.6</v>
      </c>
      <c r="H14" s="29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46050</v>
      </c>
      <c r="F15" s="28" t="n">
        <v>0.005005</v>
      </c>
      <c r="G15" s="29" t="n">
        <v>0.9</v>
      </c>
      <c r="H15" s="29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46050</v>
      </c>
      <c r="F16" s="28" t="n">
        <v>0.007508</v>
      </c>
      <c r="G16" s="29" t="n">
        <v>0.31</v>
      </c>
      <c r="H16" s="29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46050</v>
      </c>
      <c r="F17" s="28" t="n">
        <v>0.005005</v>
      </c>
      <c r="G17" s="29" t="n">
        <v>0.26</v>
      </c>
      <c r="H17" s="29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46050</v>
      </c>
      <c r="F18" s="28" t="n">
        <v>0.005005</v>
      </c>
      <c r="G18" s="29" t="n">
        <v>7</v>
      </c>
      <c r="H18" s="29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46050</v>
      </c>
      <c r="F19" s="28" t="n">
        <v>0.002503</v>
      </c>
      <c r="G19" s="29" t="n">
        <v>0.25</v>
      </c>
      <c r="H19" s="29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46050</v>
      </c>
      <c r="F20" s="28" t="n">
        <v>0.005005</v>
      </c>
      <c r="G20" s="29" t="n">
        <v>0.08</v>
      </c>
      <c r="H20" s="29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46050</v>
      </c>
      <c r="F21" s="28" t="n">
        <v>0.002503</v>
      </c>
      <c r="G21" s="29" t="n">
        <v>0.7000000000000001</v>
      </c>
      <c r="H21" s="29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46050</v>
      </c>
      <c r="F22" s="28" t="n">
        <v>0.005005</v>
      </c>
      <c r="G22" s="29" t="n">
        <v>0.11</v>
      </c>
      <c r="H22" s="29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46050</v>
      </c>
      <c r="F23" s="28" t="n">
        <v>0.005005</v>
      </c>
      <c r="G23" s="29" t="n">
        <v>0.89</v>
      </c>
      <c r="H23" s="29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46050</v>
      </c>
      <c r="F24" s="28" t="n">
        <v>0.002503</v>
      </c>
      <c r="G24" s="29" t="n">
        <v>0.45</v>
      </c>
      <c r="H24" s="29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46050</v>
      </c>
      <c r="F25" s="28" t="n">
        <v>0.002503</v>
      </c>
      <c r="G25" s="29" t="n">
        <v>0.21</v>
      </c>
      <c r="H25" s="29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46050</v>
      </c>
      <c r="F26" s="28" t="n">
        <v>0.005005</v>
      </c>
      <c r="G26" s="29" t="n">
        <v>0.77</v>
      </c>
      <c r="H26" s="29" t="n">
        <v>582.4299999999999</v>
      </c>
      <c r="I26" t="n">
        <v>5</v>
      </c>
      <c r="J26" t="n">
        <v>-5.1</v>
      </c>
      <c r="K26" t="n">
        <v>-5.1</v>
      </c>
    </row>
    <row r="28">
      <c r="A28" s="30" t="inlineStr">
        <is>
          <t>Actualizado desde MT5 (cuenta 51142, CLP) el 2026-08-19 16:07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2026-08-19T20:07:44Z</dcterms:created>
  <dcterms:modified xsi:type="dcterms:W3CDTF">2026-08-19T20:07:44Z</dcterms:modified>
</cp:coreProperties>
</file>