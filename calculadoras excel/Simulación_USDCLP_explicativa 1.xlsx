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s\Desktop\TAREAS puntuales POST VENTA\"/>
    </mc:Choice>
  </mc:AlternateContent>
  <xr:revisionPtr revIDLastSave="0" documentId="8_{F0920A04-D7D9-4512-84A9-03B23CC6BA8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5mm" sheetId="1" r:id="rId1"/>
  </sheets>
  <definedNames>
    <definedName name="_xlnm._FilterDatabase" localSheetId="0" hidden="1">'5mm'!$E$10:$M$16</definedName>
    <definedName name="_xlnm.Print_Area" localSheetId="0">'5mm'!$A$1:$M$24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<sst xmlns="http://schemas.openxmlformats.org/spreadsheetml/2006/main" count="26" uniqueCount="20">
  <si>
    <t>SIMULACIÓN USD/CLP</t>
  </si>
  <si>
    <t>Presentación de escenarios y costos asociados</t>
  </si>
  <si>
    <t>SIMULACIÓN</t>
  </si>
  <si>
    <t>COSTOS</t>
  </si>
  <si>
    <t>DOLAR</t>
  </si>
  <si>
    <t>PRECIO ENTRADA</t>
  </si>
  <si>
    <t>PRECIO TP</t>
  </si>
  <si>
    <t>LOTAJE</t>
  </si>
  <si>
    <t>MARGEN</t>
  </si>
  <si>
    <t>UTILIDAD</t>
  </si>
  <si>
    <t>RESULTADO</t>
  </si>
  <si>
    <t xml:space="preserve">SPREAD </t>
  </si>
  <si>
    <t>utilidad neta</t>
  </si>
  <si>
    <t>BUY</t>
  </si>
  <si>
    <t>TOTALES</t>
  </si>
  <si>
    <t>CAPITAL</t>
  </si>
  <si>
    <t>GANANCIAS</t>
  </si>
  <si>
    <t>PATRIMONIO</t>
  </si>
  <si>
    <t xml:space="preserve">Celdas en azul: valores editables (margen requerido, spread, precio entrada, precio TP, lotaje, capital, BUY/SELL). El resto se calcula automáticamente.</t>
  </si>
  <si>
    <t>MARGEN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</si>
</sst>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[$$]#,##0.00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1"/>
      <color rgb="FF1F3864"/>
      <name val="Calibri"/>
      <charset val="1"/>
    </font>
    <font>
      <b/>
      <sz val="11"/>
      <color rgb="FF0000FF"/>
      <name val="Calibri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sz val="11"/>
      <color theme="1"/>
      <name val="Arial"/>
      <family val="2"/>
      <charset val="1"/>
    </font>
    <font>
      <b/>
      <sz val="11"/>
      <color rgb="FFFFFFFF"/>
      <name val="Calibri"/>
      <charset val="1"/>
    </font>
    <font>
      <b/>
      <sz val="12"/>
      <color rgb="FF1F3864"/>
      <name val="Calibri"/>
      <charset val="1"/>
    </font>
    <font>
      <i/>
      <sz val="9"/>
      <color rgb="FF59595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BF8F00"/>
        <bgColor rgb="FF808000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2" fillId="0" borderId="0" xfId="0" applyFont="1" applyAlignment="1">
      <alignment horizontal="left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166" fontId="9" fillId="0" borderId="0" xfId="0" applyNumberFormat="1" applyFont="1" applyAlignment="1">
      <alignment horizontal="right"/>
    </xf>
    <xf numFmtId="0" fontId="0" fillId="0" borderId="3" xfId="0" applyBorder="1"/>
    <xf numFmtId="0" fontId="3" fillId="5" borderId="1" xfId="0" applyFont="1" applyFill="1" applyBorder="1" applyAlignment="1">
      <alignment horizontal="left" vertical="center"/>
    </xf>
    <xf numFmtId="164" fontId="9" fillId="0" borderId="0" xfId="0" applyNumberFormat="1" applyFont="1"/>
    <xf numFmtId="164" fontId="3" fillId="5" borderId="1" xfId="0" applyNumberFormat="1" applyFont="1" applyFill="1" applyBorder="1" applyAlignment="1">
      <alignment horizontal="center" vertical="center"/>
    </xf>
    <xf numFmtId="9" fontId="9" fillId="0" borderId="0" xfId="0" applyNumberFormat="1" applyFont="1"/>
    <xf numFmtId="0" fontId="11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CE4E4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63500</xdr:colOff>
      <xdr:row>2</xdr:row>
      <xdr:rowOff>39687</xdr:rowOff>
    </xdr:from>
    <xdr:to>
      <xdr:col>12</xdr:col>
      <xdr:colOff>1002058</xdr:colOff>
      <xdr:row>7</xdr:row>
      <xdr:rowOff>28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90000" y="666750"/>
          <a:ext cx="938558" cy="873153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214313</xdr:colOff>
      <xdr:row>2</xdr:row>
      <xdr:rowOff>87312</xdr:rowOff>
    </xdr:from>
    <xdr:to>
      <xdr:col>5</xdr:col>
      <xdr:colOff>49558</xdr:colOff>
      <xdr:row>7</xdr:row>
      <xdr:rowOff>47653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CD7525AB-4531-4B29-BB2F-6A1BE85920E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9938" y="714375"/>
          <a:ext cx="938558" cy="873153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4"/>
  <sheetViews>
    <sheetView showGridLines="0" tabSelected="1" zoomScale="80" zoomScaleNormal="80" workbookViewId="0">
      <selection activeCell="O11" sqref="O11"/>
    </sheetView>
  </sheetViews>
  <sheetFormatPr baseColWidth="10" defaultColWidth="10.6328125" defaultRowHeight="14.5" x14ac:dyDescent="0.35"/>
  <cols>
    <col min="1" max="1" width="4" customWidth="1"/>
    <col min="2" max="2" width="4" hidden="1" customWidth="1"/>
    <col min="3" max="4" width="4" customWidth="1"/>
    <col min="5" max="5" width="11.81640625" customWidth="1"/>
    <col min="6" max="6" width="16" customWidth="1"/>
    <col min="7" max="7" width="14" customWidth="1"/>
    <col min="8" max="8" width="16.7265625" customWidth="1"/>
    <col min="9" max="10" width="14" customWidth="1"/>
    <col min="11" max="11" width="15" customWidth="1"/>
    <col min="12" max="12" width="13" customWidth="1"/>
    <col min="13" max="13" width="15" customWidth="1"/>
  </cols>
  <sheetData>
    <row r="1" spans="5:13" ht="30" customHeight="1" x14ac:dyDescent="0.35">
      <c r="E1" s="5" t="s">
        <v>0</v>
      </c>
      <c r="F1" s="5"/>
      <c r="G1" s="5"/>
      <c r="H1" s="5"/>
      <c r="I1" s="5"/>
      <c r="J1" s="5"/>
      <c r="K1" s="5"/>
      <c r="L1" s="5"/>
      <c r="M1" s="5"/>
    </row>
    <row r="2" spans="5:13" ht="19.5" customHeight="1" x14ac:dyDescent="0.35">
      <c r="E2" s="4" t="s">
        <v>1</v>
      </c>
      <c r="F2" s="4"/>
      <c r="G2" s="4"/>
      <c r="H2" s="4"/>
      <c r="I2" s="4"/>
      <c r="J2" s="4"/>
      <c r="K2" s="4"/>
      <c r="L2" s="4"/>
      <c r="M2" s="4"/>
    </row>
    <row r="3" spans="5:13" ht="7.5" customHeight="1" x14ac:dyDescent="0.35"/>
    <row r="5" spans="5:13" ht="21.75" customHeight="1" x14ac:dyDescent="0.35">
      <c r="H5" s="6" t="s">
        <v>19</v>
      </c>
      <c r="I5" s="31">
        <v>0.01</v>
      </c>
    </row>
    <row r="6" spans="5:13" ht="21.75" customHeight="1" x14ac:dyDescent="0.35">
      <c r="H6" s="6" t="inlineStr">
        <is>
          <t>SPREAD (CLP/USD)</t>
        </is>
      </c>
      <c r="I6" s="32">
        <v>0.4</v>
      </c>
    </row>
    <row r="9" spans="5:13" ht="24" customHeight="1" x14ac:dyDescent="0.35">
      <c r="E9" s="3" t="s">
        <v>2</v>
      </c>
      <c r="F9" s="3"/>
      <c r="G9" s="3"/>
      <c r="H9" s="3"/>
      <c r="I9" s="3"/>
      <c r="J9" s="3"/>
      <c r="K9" s="3"/>
      <c r="L9" s="2" t="s">
        <v>3</v>
      </c>
      <c r="M9" s="2"/>
    </row>
    <row r="10" spans="5:13" ht="33.75" customHeight="1" x14ac:dyDescent="0.35">
      <c r="E10" s="8" t="s">
        <v>4</v>
      </c>
      <c r="F10" s="9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8" t="s">
        <v>10</v>
      </c>
      <c r="L10" s="10" t="s">
        <v>11</v>
      </c>
      <c r="M10" s="11" t="s">
        <v>12</v>
      </c>
    </row>
    <row r="11" spans="5:13" ht="25.5" customHeight="1" x14ac:dyDescent="0.35">
      <c r="E11" s="12" t="s">
        <v>13</v>
      </c>
      <c r="F11" s="33">
        <v>930.0</v>
      </c>
      <c r="G11" s="33">
        <v>880.0</v>
      </c>
      <c r="H11" s="13">
        <v>20000</v>
      </c>
      <c r="I11" s="14">
        <f>H11*$I$5*F11</f>
        <v>186000.0</v>
      </c>
      <c r="J11" s="35">
        <f>IF(G11=0,0,K11/G11)</f>
        <v>-1136.3636363636363</v>
      </c>
      <c r="K11" s="14">
        <f>IF(UPPER(TRIM(E11))="BUY",(G11-F11)*H11,(F11-G11)*H11)</f>
        <v>-1000000.0</v>
      </c>
      <c r="L11" s="14">
        <f>H11*$I$6</f>
        <v>8000.0</v>
      </c>
      <c r="M11" s="14">
        <f>K11-L11</f>
        <v>-1008000.0</v>
      </c>
    </row>
    <row r="12" spans="5:13" ht="25.5" customHeight="1" x14ac:dyDescent="0.35">
      <c r="E12" s="15" t="s">
        <v>13</v>
      </c>
      <c r="F12" s="34">
        <v>930.0</v>
      </c>
      <c r="G12" s="34">
        <v>1017.0</v>
      </c>
      <c r="H12" s="16">
        <v>0</v>
      </c>
      <c r="I12" s="17">
        <f>H12*$I$5*F12</f>
        <v>0.0</v>
      </c>
      <c r="J12" s="36">
        <f>IF(G12=0,0,K12/G12)</f>
        <v>0.0</v>
      </c>
      <c r="K12" s="17">
        <f>IF(UPPER(TRIM(E12))="BUY",(G12-F12)*H12,(F12-G12)*H12)</f>
        <v>0.0</v>
      </c>
      <c r="L12" s="17">
        <f>H12*$I$6</f>
        <v>0.0</v>
      </c>
      <c r="M12" s="17">
        <f>K12-L12</f>
        <v>0.0</v>
      </c>
    </row>
    <row r="13" spans="5:13" ht="25.5" customHeight="1" x14ac:dyDescent="0.35">
      <c r="E13" s="12" t="s">
        <v>13</v>
      </c>
      <c r="F13" s="33">
        <v>950.0</v>
      </c>
      <c r="G13" s="33">
        <v>948.0</v>
      </c>
      <c r="H13" s="13">
        <v>0</v>
      </c>
      <c r="I13" s="14">
        <f>H13*$I$5*F13</f>
        <v>0.0</v>
      </c>
      <c r="J13" s="35">
        <f>IF(G13=0,0,K13/G13)</f>
        <v>-0.0</v>
      </c>
      <c r="K13" s="14">
        <f>IF(UPPER(TRIM(E13))="BUY",(G13-F13)*H13,(F13-G13)*H13)</f>
        <v>-0.0</v>
      </c>
      <c r="L13" s="14">
        <f>H13*$I$6</f>
        <v>0.0</v>
      </c>
      <c r="M13" s="14">
        <f>K13-L13</f>
        <v>-0.0</v>
      </c>
    </row>
    <row r="14" spans="5:13" ht="25.5" customHeight="1" x14ac:dyDescent="0.35">
      <c r="E14" s="15" t="s">
        <v>13</v>
      </c>
      <c r="F14" s="34">
        <v>945.0</v>
      </c>
      <c r="G14" s="34">
        <v>950.0</v>
      </c>
      <c r="H14" s="16">
        <v>0</v>
      </c>
      <c r="I14" s="17">
        <f>H14*$I$5*F14</f>
        <v>0.0</v>
      </c>
      <c r="J14" s="36">
        <f>IF(G14=0,0,K14/G14)</f>
        <v>0.0</v>
      </c>
      <c r="K14" s="17">
        <f>IF(UPPER(TRIM(E14))="BUY",(G14-F14)*H14,(F14-G14)*H14)</f>
        <v>0.0</v>
      </c>
      <c r="L14" s="17">
        <f>H14*$I$6</f>
        <v>0.0</v>
      </c>
      <c r="M14" s="17">
        <f>K14-L14</f>
        <v>0.0</v>
      </c>
    </row>
    <row r="15" spans="5:13" ht="25.5" customHeight="1" x14ac:dyDescent="0.35">
      <c r="E15" s="12" t="s">
        <v>13</v>
      </c>
      <c r="F15" s="33">
        <v>950.0</v>
      </c>
      <c r="G15" s="33">
        <v>950.0</v>
      </c>
      <c r="H15" s="13">
        <v>0</v>
      </c>
      <c r="I15" s="14">
        <f>H15*$I$5*F15</f>
        <v>0.0</v>
      </c>
      <c r="J15" s="35">
        <f>IF(G15=0,0,K15/G15)</f>
        <v>0.0</v>
      </c>
      <c r="K15" s="14">
        <f>IF(UPPER(TRIM(E15))="BUY",(G15-F15)*H15,(F15-G15)*H15)</f>
        <v>0.0</v>
      </c>
      <c r="L15" s="14">
        <f>H15*$I$6</f>
        <v>0.0</v>
      </c>
      <c r="M15" s="14">
        <f>K15-L15</f>
        <v>0.0</v>
      </c>
    </row>
    <row r="16" spans="5:13" ht="25.5" customHeight="1" x14ac:dyDescent="0.35">
      <c r="E16" s="15" t="s">
        <v>13</v>
      </c>
      <c r="F16" s="34">
        <v>960.0</v>
      </c>
      <c r="G16" s="34">
        <v>960.0</v>
      </c>
      <c r="H16" s="16">
        <v>0</v>
      </c>
      <c r="I16" s="17">
        <f>H16*$I$5*F16</f>
        <v>0.0</v>
      </c>
      <c r="J16" s="36">
        <f>IF(G16=0,0,K16/G16)</f>
        <v>0.0</v>
      </c>
      <c r="K16" s="17">
        <f>IF(UPPER(TRIM(E16))="BUY",(G16-F16)*H16,(F16-G16)*H16)</f>
        <v>0.0</v>
      </c>
      <c r="L16" s="17">
        <f>H16*$I$6</f>
        <v>0.0</v>
      </c>
      <c r="M16" s="17">
        <f>K16-L16</f>
        <v>0.0</v>
      </c>
    </row>
    <row r="17" spans="5:13" ht="24" customHeight="1" x14ac:dyDescent="0.35">
      <c r="E17" s="18"/>
      <c r="F17" s="19"/>
      <c r="H17" s="20" t="s">
        <v>14</v>
      </c>
      <c r="I17" s="21">
        <f>SUM(I11:I16)</f>
        <v>186000.0</v>
      </c>
      <c r="J17" s="37">
        <f>SUM(J11:J16)</f>
        <v>-1136.3636363636363</v>
      </c>
      <c r="K17" s="21">
        <f>SUM(K11:K16)</f>
        <v>-1000000.0</v>
      </c>
      <c r="L17" s="21">
        <f>SUM(L11:L16)</f>
        <v>8000.0</v>
      </c>
      <c r="M17" s="21">
        <f>SUM(M11:M16)</f>
        <v>-1008000.0</v>
      </c>
    </row>
    <row r="18" spans="5:13" ht="9.75" customHeight="1" x14ac:dyDescent="0.35">
      <c r="E18" s="22"/>
      <c r="F18" s="23"/>
      <c r="G18" s="23"/>
      <c r="H18" s="24"/>
      <c r="I18" s="22"/>
      <c r="J18" s="22"/>
      <c r="K18" s="22"/>
    </row>
    <row r="19" spans="5:13" ht="21.75" customHeight="1" x14ac:dyDescent="0.35">
      <c r="E19" s="22"/>
      <c r="F19" s="22"/>
      <c r="G19" s="22"/>
      <c r="H19" s="25" t="s">
        <v>15</v>
      </c>
      <c r="I19" s="7">
        <v>2000000</v>
      </c>
      <c r="J19" s="22"/>
      <c r="K19" s="26"/>
    </row>
    <row r="20" spans="5:13" ht="21.75" customHeight="1" x14ac:dyDescent="0.35">
      <c r="E20" s="22"/>
      <c r="F20" s="22"/>
      <c r="G20" s="22"/>
      <c r="H20" s="25" t="s">
        <v>8</v>
      </c>
      <c r="I20" s="27">
        <f>I17</f>
        <v>186000.0</v>
      </c>
      <c r="J20" s="22"/>
      <c r="K20" s="28"/>
    </row>
    <row r="21" spans="5:13" ht="21.75" customHeight="1" x14ac:dyDescent="0.35">
      <c r="E21" s="22"/>
      <c r="F21" s="22"/>
      <c r="G21" s="22"/>
      <c r="H21" s="25" t="s">
        <v>16</v>
      </c>
      <c r="I21" s="27">
        <f>M17</f>
        <v>-1008000.0</v>
      </c>
      <c r="J21" s="22"/>
      <c r="K21" s="22"/>
    </row>
    <row r="22" spans="5:13" ht="21.75" customHeight="1" x14ac:dyDescent="0.35">
      <c r="E22" s="22"/>
      <c r="F22" s="22"/>
      <c r="G22" s="22"/>
      <c r="H22" s="29" t="s">
        <v>17</v>
      </c>
      <c r="I22" s="30">
        <f>I19+I21</f>
        <v>992000.0</v>
      </c>
      <c r="J22" s="22"/>
      <c r="K22" s="22"/>
    </row>
    <row r="23" spans="5:13" ht="14.25" customHeight="1" x14ac:dyDescent="0.35">
      <c r="E23" s="22"/>
      <c r="F23" s="22"/>
      <c r="G23" s="22"/>
      <c r="H23" s="28"/>
      <c r="I23" s="22"/>
    </row>
    <row r="24" spans="5:13" ht="18" customHeight="1" x14ac:dyDescent="0.35">
      <c r="E24" s="1" t="s">
        <v>18</v>
      </c>
      <c r="F24" s="1"/>
      <c r="G24" s="1"/>
      <c r="H24" s="1"/>
      <c r="I24" s="1"/>
      <c r="J24" s="1"/>
      <c r="K24" s="1"/>
      <c r="L24" s="1"/>
      <c r="M24" s="1"/>
    </row>
  </sheetData>
  <autoFilter ref="E10:M16" xr:uid="{00000000-0009-0000-0000-000000000000}"/>
  <mergeCells count="5">
    <mergeCell ref="E1:M1"/>
    <mergeCell ref="E2:M2"/>
    <mergeCell ref="E9:K9"/>
    <mergeCell ref="L9:M9"/>
    <mergeCell ref="E24:M24"/>
  </mergeCells>
  <conditionalFormatting sqref="E11:M16">
    <cfRule type="expression" dxfId="1" priority="2">
      <formula>$E11="BUY"</formula>
    </cfRule>
    <cfRule type="expression" dxfId="0" priority="3">
      <formula>$E11="SELL"</formula>
    </cfRule>
  </conditionalFormatting>
  <dataValidations count="1">
    <dataValidation type="list" errorTitle="Entrada inválida" error="Seleccione BUY o SELL" sqref="E11:E16" xr:uid="{00000000-0002-0000-0000-000000000000}">
      <formula1>"BUY,SELL"</formula1>
      <formula2>0</formula2>
    </dataValidation>
  </dataValidations>
  <pageMargins left="0.3" right="0.3" top="0.4" bottom="0.4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5mm</vt:lpstr>
      <vt:lpstr>'5mm'!Área_de_impresión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Smoki Dead</dc:creator>
  <dc:description/>
  <cp:lastModifiedBy>HARI GOPAL SAITS ARMIJO</cp:lastModifiedBy>
  <cp:revision>0</cp:revision>
  <dcterms:created xsi:type="dcterms:W3CDTF">2024-07-11T01:07:36Z</dcterms:created>
  <dcterms:modified xsi:type="dcterms:W3CDTF">2026-08-18T21:41:08Z</dcterms:modified>
  <dc:language>en-US</dc:language>
</cp:coreProperties>
</file>