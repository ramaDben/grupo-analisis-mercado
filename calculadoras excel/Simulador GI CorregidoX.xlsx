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mulador" sheetId="1" state="visible" r:id="rId1"/>
    <sheet name="Datos" sheetId="2" state="visible" r:id="rId2"/>
  </sheets>
  <definedNames>
    <definedName name="_xlnm.Print_Area" localSheetId="0">'Simulador'!$B$1:$O$28</definedName>
  </definedNames>
  <calcPr calcId="124519" fullCalcOnLoad="1"/>
</workbook>
</file>

<file path=xl/styles.xml><?xml version="1.0" encoding="utf-8"?>
<styleSheet xmlns="http://schemas.openxmlformats.org/spreadsheetml/2006/main">
  <numFmts count="5">
    <numFmt numFmtId="164" formatCode="#,##0.00###"/>
    <numFmt numFmtId="165" formatCode="&quot;$&quot;#,##0"/>
    <numFmt numFmtId="166" formatCode="0.0"/>
    <numFmt numFmtId="167" formatCode="0.0&quot; veces&quot;"/>
    <numFmt numFmtId="168" formatCode="0&quot;%&quot;"/>
  </numFmts>
  <fonts count="14">
    <font>
      <name val="Calibri"/>
      <family val="2"/>
      <color theme="1"/>
      <sz val="11"/>
      <scheme val="minor"/>
    </font>
    <font>
      <b val="1"/>
      <color rgb="00FFFFFF"/>
      <sz val="9"/>
    </font>
    <font>
      <i val="1"/>
      <color rgb="00808080"/>
      <sz val="9"/>
    </font>
    <font>
      <b val="1"/>
      <color rgb="00FFFFFF"/>
      <sz val="18"/>
    </font>
    <font>
      <i val="1"/>
      <color rgb="00595959"/>
      <sz val="10"/>
    </font>
    <font>
      <b val="1"/>
      <sz val="11"/>
    </font>
    <font>
      <b val="1"/>
      <color rgb="000000C0"/>
      <sz val="11"/>
    </font>
    <font>
      <color rgb="00595959"/>
      <sz val="10"/>
    </font>
    <font>
      <b val="1"/>
      <color rgb="00000000"/>
      <sz val="11"/>
    </font>
    <font>
      <b val="1"/>
      <color rgb="00FFFFFF"/>
      <sz val="12"/>
    </font>
    <font>
      <color rgb="00000000"/>
      <sz val="9"/>
    </font>
    <font>
      <b val="1"/>
      <color rgb="00FFFFFF"/>
      <sz val="11"/>
    </font>
    <font>
      <sz val="11"/>
    </font>
    <font>
      <b val="1"/>
      <color rgb="00000000"/>
      <sz val="13"/>
    </font>
  </fonts>
  <fills count="8">
    <fill>
      <patternFill/>
    </fill>
    <fill>
      <patternFill patternType="gray125"/>
    </fill>
    <fill>
      <patternFill patternType="solid">
        <fgColor rgb="00203864"/>
      </patternFill>
    </fill>
    <fill>
      <patternFill patternType="solid">
        <fgColor rgb="00FFFFFF"/>
      </patternFill>
    </fill>
    <fill>
      <patternFill patternType="solid">
        <fgColor rgb="00FFF2CC"/>
      </patternFill>
    </fill>
    <fill>
      <patternFill patternType="solid">
        <fgColor rgb="00F2F2F2"/>
      </patternFill>
    </fill>
    <fill>
      <patternFill patternType="solid">
        <fgColor rgb="00BF8F00"/>
      </patternFill>
    </fill>
    <fill>
      <patternFill patternType="solid">
        <fgColor rgb="0050C0A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3" fillId="2"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0" borderId="0" applyAlignment="1" pivotButton="0" quotePrefix="0" xfId="0">
      <alignment vertical="center"/>
    </xf>
    <xf numFmtId="0" fontId="6" fillId="4" borderId="1" applyAlignment="1" applyProtection="1" pivotButton="0" quotePrefix="0" xfId="0">
      <alignment horizontal="center" vertical="center"/>
      <protection locked="0" hidden="0"/>
    </xf>
    <xf numFmtId="0" fontId="0" fillId="4" borderId="1" applyProtection="1" pivotButton="0" quotePrefix="0" xfId="0">
      <protection locked="0" hidden="0"/>
    </xf>
    <xf numFmtId="0" fontId="7" fillId="0" borderId="0" applyAlignment="1" pivotButton="0" quotePrefix="0" xfId="0">
      <alignment horizontal="right" vertical="center"/>
    </xf>
    <xf numFmtId="164" fontId="8" fillId="5" borderId="1" applyAlignment="1" pivotButton="0" quotePrefix="0" xfId="0">
      <alignment horizontal="center" vertical="center"/>
    </xf>
    <xf numFmtId="165" fontId="6" fillId="4" borderId="1" applyAlignment="1" applyProtection="1" pivotButton="0" quotePrefix="0" xfId="0">
      <alignment horizontal="center" vertical="center"/>
      <protection locked="0" hidden="0"/>
    </xf>
    <xf numFmtId="165" fontId="8" fillId="5" borderId="1" applyAlignment="1" pivotButton="0" quotePrefix="0" xfId="0">
      <alignment horizontal="center" vertical="center"/>
    </xf>
    <xf numFmtId="0" fontId="5" fillId="4" borderId="1" applyAlignment="1" pivotButton="0" quotePrefix="0" xfId="0">
      <alignment horizontal="center" vertical="center"/>
    </xf>
    <xf numFmtId="0" fontId="0" fillId="4" borderId="1" pivotButton="0" quotePrefix="0" xfId="0"/>
    <xf numFmtId="0" fontId="9" fillId="2" borderId="0" applyAlignment="1" pivotButton="0" quotePrefix="0" xfId="0">
      <alignment horizontal="center" vertical="center" wrapText="1"/>
    </xf>
    <xf numFmtId="0" fontId="9" fillId="6" borderId="0" applyAlignment="1" pivotButton="0" quotePrefix="0" xfId="0">
      <alignment horizontal="center" vertical="center" wrapText="1"/>
    </xf>
    <xf numFmtId="0" fontId="0" fillId="2" borderId="1" pivotButton="0" quotePrefix="0" xfId="0"/>
    <xf numFmtId="0" fontId="1" fillId="7" borderId="1" applyAlignment="1" pivotButton="0" quotePrefix="0" xfId="0">
      <alignment horizontal="center" vertical="center" wrapText="1"/>
    </xf>
    <xf numFmtId="0" fontId="1" fillId="6" borderId="1" applyAlignment="1" pivotButton="0" quotePrefix="0" xfId="0">
      <alignment horizontal="center" vertical="center" wrapText="1"/>
    </xf>
    <xf numFmtId="2" fontId="6" fillId="4" borderId="1" applyAlignment="1" applyProtection="1" pivotButton="0" quotePrefix="0" xfId="0">
      <alignment horizontal="center" vertical="center"/>
      <protection locked="0" hidden="0"/>
    </xf>
    <xf numFmtId="166" fontId="8" fillId="5" borderId="1" applyAlignment="1" pivotButton="0" quotePrefix="0" xfId="0">
      <alignment horizontal="center" vertical="center"/>
    </xf>
    <xf numFmtId="164" fontId="6" fillId="4" borderId="1" applyAlignment="1" applyProtection="1" pivotButton="0" quotePrefix="0" xfId="0">
      <alignment horizontal="center" vertical="center"/>
      <protection locked="0" hidden="0"/>
    </xf>
    <xf numFmtId="1" fontId="6" fillId="4" borderId="1" applyAlignment="1" applyProtection="1" pivotButton="0" quotePrefix="0" xfId="0">
      <alignment horizontal="center" vertical="center"/>
      <protection locked="0" hidden="0"/>
    </xf>
    <xf numFmtId="0" fontId="10" fillId="5" borderId="1" applyAlignment="1" pivotButton="0" quotePrefix="0" xfId="0">
      <alignment horizontal="left" vertical="center" wrapText="1"/>
    </xf>
    <xf numFmtId="0" fontId="11" fillId="2" borderId="1" applyAlignment="1" pivotButton="0" quotePrefix="0" xfId="0">
      <alignment horizontal="center" vertical="center"/>
    </xf>
    <xf numFmtId="2" fontId="11" fillId="2" borderId="1" applyAlignment="1" pivotButton="0" quotePrefix="0" xfId="0">
      <alignment horizontal="center" vertical="center"/>
    </xf>
    <xf numFmtId="165" fontId="11" fillId="2" borderId="1" applyAlignment="1" pivotButton="0" quotePrefix="0" xfId="0">
      <alignment horizontal="center" vertical="center"/>
    </xf>
    <xf numFmtId="166" fontId="11" fillId="2" borderId="1" applyAlignment="1" pivotButton="0" quotePrefix="0" xfId="0">
      <alignment horizontal="center" vertical="center"/>
    </xf>
    <xf numFmtId="165" fontId="11" fillId="6" borderId="1" applyAlignment="1" pivotButton="0" quotePrefix="0" xfId="0">
      <alignment horizontal="center" vertical="center"/>
    </xf>
    <xf numFmtId="0" fontId="12" fillId="0" borderId="0" applyAlignment="1" pivotButton="0" quotePrefix="0" xfId="0">
      <alignment horizontal="right" vertical="center"/>
    </xf>
    <xf numFmtId="167" fontId="8" fillId="5" borderId="1" applyAlignment="1" pivotButton="0" quotePrefix="0" xfId="0">
      <alignment horizontal="center" vertical="center"/>
    </xf>
    <xf numFmtId="168" fontId="8" fillId="5" borderId="1" applyAlignment="1" pivotButton="0" quotePrefix="0" xfId="0">
      <alignment horizontal="center" vertical="center"/>
    </xf>
    <xf numFmtId="0" fontId="5" fillId="0" borderId="0" applyAlignment="1" pivotButton="0" quotePrefix="0" xfId="0">
      <alignment horizontal="right" vertical="center"/>
    </xf>
    <xf numFmtId="165" fontId="13" fillId="4" borderId="1" applyAlignment="1" pivotButton="0" quotePrefix="0" xfId="0">
      <alignment horizontal="center" vertical="center"/>
    </xf>
    <xf numFmtId="0" fontId="2" fillId="3" borderId="0" applyAlignment="1" pivotButton="0" quotePrefix="0" xfId="0">
      <alignment horizontal="left" vertical="center" wrapText="1"/>
    </xf>
    <xf numFmtId="0" fontId="1" fillId="2" borderId="0" applyAlignment="1" pivotButton="0" quotePrefix="0" xfId="0">
      <alignment horizontal="center" vertical="center" wrapText="1"/>
    </xf>
    <xf numFmtId="10" fontId="0" fillId="0" borderId="0" pivotButton="0" quotePrefix="0" xfId="0"/>
    <xf numFmtId="164" fontId="0" fillId="0" borderId="0" pivotButton="0" quotePrefix="0" xfId="0"/>
    <xf numFmtId="0" fontId="2" fillId="0" borderId="0" pivotButton="0" quotePrefix="0" xfId="0"/>
  </cellXfs>
  <cellStyles count="1">
    <cellStyle name="Normal" xfId="0" builtinId="0" hidden="0"/>
  </cellStyles>
  <dxfs count="1">
    <dxf>
      <font>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13</col>
      <colOff>0</colOff>
      <row>0</row>
      <rowOff>0</rowOff>
    </from>
    <ext cx="638175" cy="5905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C1:R27"/>
  <sheetViews>
    <sheetView showGridLines="0" workbookViewId="0">
      <selection activeCell="A1" sqref="A1"/>
    </sheetView>
  </sheetViews>
  <sheetFormatPr baseColWidth="8" defaultRowHeight="15"/>
  <cols>
    <col width="3" customWidth="1" min="1" max="1"/>
    <col width="3" customWidth="1" min="2" max="2"/>
    <col width="13" customWidth="1" min="3" max="3"/>
    <col width="14" customWidth="1" min="4" max="4"/>
    <col width="14" customWidth="1" min="5" max="5"/>
    <col width="16" customWidth="1" min="6" max="6"/>
    <col width="13" customWidth="1" min="7" max="7"/>
    <col width="13" customWidth="1" min="8" max="8"/>
    <col width="11" customWidth="1" min="9" max="9"/>
    <col width="14" customWidth="1" min="10" max="10"/>
    <col width="15" customWidth="1" min="11" max="11"/>
    <col width="16" customWidth="1" min="12" max="12"/>
    <col width="15" customWidth="1" min="13" max="13"/>
    <col width="26" customWidth="1" min="14" max="14"/>
    <col width="3" customWidth="1" min="15" max="15"/>
    <col hidden="1" width="13" customWidth="1" min="17" max="17"/>
    <col hidden="1" width="13" customWidth="1" min="18" max="18"/>
  </cols>
  <sheetData>
    <row r="1" ht="34" customHeight="1">
      <c r="C1" s="1" t="inlineStr">
        <is>
          <t>SIMULADOR DE OPERACIONES</t>
        </is>
      </c>
      <c r="D1" s="1" t="n"/>
      <c r="E1" s="1" t="n"/>
      <c r="F1" s="1" t="n"/>
      <c r="G1" s="1" t="n"/>
      <c r="H1" s="1" t="n"/>
      <c r="I1" s="1" t="n"/>
      <c r="J1" s="1" t="n"/>
      <c r="K1" s="1" t="n"/>
      <c r="L1" s="1" t="n"/>
      <c r="M1" s="1" t="n"/>
      <c r="Q1" t="inlineStr">
        <is>
          <t>ticker</t>
        </is>
      </c>
      <c r="R1">
        <f>IFERROR(VLOOKUP($F$4,Datos!$A:$K,2,FALSE),0)</f>
        <v/>
      </c>
    </row>
    <row r="2" ht="24" customHeight="1">
      <c r="C2" s="2" t="inlineStr">
        <is>
          <t>Se escribe el volumen en lotes, la unidad del terminal. La planilla calcula el margen que bloquea, el apalancamiento y los costos.</t>
        </is>
      </c>
      <c r="D2" s="2" t="n"/>
      <c r="E2" s="2" t="n"/>
      <c r="F2" s="2" t="n"/>
      <c r="G2" s="2" t="n"/>
      <c r="H2" s="2" t="n"/>
      <c r="I2" s="2" t="n"/>
      <c r="J2" s="2" t="n"/>
      <c r="K2" s="2" t="n"/>
      <c r="L2" s="2" t="n"/>
      <c r="M2" s="2" t="n"/>
      <c r="Q2" t="inlineStr">
        <is>
          <t>digits</t>
        </is>
      </c>
      <c r="R2">
        <f>IFERROR(VLOOKUP($F$4,Datos!$A:$K,3,FALSE),0)</f>
        <v/>
      </c>
    </row>
    <row r="3">
      <c r="Q3" t="inlineStr">
        <is>
          <t>contrato</t>
        </is>
      </c>
      <c r="R3">
        <f>IFERROR(VLOOKUP($F$4,Datos!$A:$K,4,FALSE),0)</f>
        <v/>
      </c>
    </row>
    <row r="4" ht="26" customHeight="1">
      <c r="C4" s="3" t="inlineStr">
        <is>
          <t>1 · Instrumento</t>
        </is>
      </c>
      <c r="F4" s="4" t="inlineStr">
        <is>
          <t>Dólar / Peso Chileno</t>
        </is>
      </c>
      <c r="G4" s="5" t="n"/>
      <c r="J4" s="6" t="inlineStr">
        <is>
          <t>Precio de referencia</t>
        </is>
      </c>
      <c r="M4" s="7">
        <f>$R$7</f>
        <v/>
      </c>
      <c r="Q4" t="inlineStr">
        <is>
          <t>clp_unidad</t>
        </is>
      </c>
      <c r="R4">
        <f>IFERROR(VLOOKUP($F$4,Datos!$A:$K,5,FALSE),0)</f>
        <v/>
      </c>
    </row>
    <row r="5" ht="26" customHeight="1">
      <c r="C5" s="3" t="inlineStr">
        <is>
          <t>2 · Capital de la cuenta</t>
        </is>
      </c>
      <c r="F5" s="8" t="n">
        <v>2000000</v>
      </c>
      <c r="G5" s="5" t="n"/>
      <c r="J5" s="6" t="inlineStr">
        <is>
          <t>Capital mínimo por operación (0,01 lotes)</t>
        </is>
      </c>
      <c r="M5" s="9">
        <f>0.01*$R$7*$R$4*$R$5</f>
        <v/>
      </c>
      <c r="Q5" t="inlineStr">
        <is>
          <t>tasa</t>
        </is>
      </c>
      <c r="R5">
        <f>IFERROR(VLOOKUP($F$4,Datos!$A:$K,6,FALSE),0)</f>
        <v/>
      </c>
    </row>
    <row r="6">
      <c r="J6" s="6" t="inlineStr">
        <is>
          <t>Spread vigente al generar</t>
        </is>
      </c>
      <c r="M6" s="7">
        <f>$R$6</f>
        <v/>
      </c>
      <c r="Q6" t="inlineStr">
        <is>
          <t>spread</t>
        </is>
      </c>
      <c r="R6">
        <f>IFERROR(VLOOKUP($F$4,Datos!$A:$K,7,FALSE),0)</f>
        <v/>
      </c>
    </row>
    <row r="7" ht="30" customHeight="1">
      <c r="C7" s="10">
        <f>IF($F$4="","⚠ Seleccione un instrumento de la lista.",IF(SUMPRODUCT(--ISTEXT($D$11:$D$16))+SUMPRODUCT(--ISTEXT($G$11:$H$16))+SUMPRODUCT(--ISTEXT($I$11:$I$16))&gt;0,"⚠ Hay un valor escrito como texto. El separador decimal de este Excel es la coma: escriba 0,54 y no 0.54.",IF(SUMPRODUCT(($D$11:$D$16&gt;0)*($G$11:$G$16=0))&gt;0,"⚠ Hay una operación con volumen y sin precio de entrada.",IF(SUMPRODUCT(($G$11:$G$16&gt;0)*(ABS($G$11:$G$16/$R$7-1)&gt;0.1))&gt;0,"⚠ Un precio de entrada difiere en más de 10% del precio de referencia ($"&amp;FIXED($R$7,$R$2)&amp;"). Verifique que corresponda al instrumento seleccionado.",IF(SUMPRODUCT(--(MOD(ROUND($D$11:$D$16*100,6),1)&lt;&gt;0))&gt;0,"⚠ Hay un volumen que no es múltiplo de 0,01 lotes, el paso mínimo de MT5.",IF($M$21&gt;$F$5,"⚠ El margen requerido excede el capital de la cuenta.","✓ "&amp;COUNTIF($D$11:$D$16,"&gt;0")&amp;" operación(es) sobre "&amp;$R$1&amp;". El volumen en lotes es el que se ingresa en MT5."))))))</f>
        <v/>
      </c>
      <c r="D7" s="11" t="n"/>
      <c r="E7" s="11" t="n"/>
      <c r="F7" s="11" t="n"/>
      <c r="G7" s="11" t="n"/>
      <c r="H7" s="11" t="n"/>
      <c r="I7" s="11" t="n"/>
      <c r="J7" s="11" t="n"/>
      <c r="K7" s="11" t="n"/>
      <c r="L7" s="11" t="n"/>
      <c r="M7" s="11" t="n"/>
      <c r="N7" s="11" t="n"/>
      <c r="Q7" t="inlineStr">
        <is>
          <t>precio_ref</t>
        </is>
      </c>
      <c r="R7">
        <f>IFERROR(VLOOKUP($F$4,Datos!$A:$K,8,FALSE),0)</f>
        <v/>
      </c>
    </row>
    <row r="8">
      <c r="Q8" t="inlineStr">
        <is>
          <t>swap_modo</t>
        </is>
      </c>
      <c r="R8">
        <f>IFERROR(VLOOKUP($F$4,Datos!$A:$K,9,FALSE),0)</f>
        <v/>
      </c>
    </row>
    <row r="9" ht="24" customHeight="1">
      <c r="C9" s="12" t="inlineStr">
        <is>
          <t>SIMULACIÓN</t>
        </is>
      </c>
      <c r="D9" s="12" t="n"/>
      <c r="E9" s="12" t="n"/>
      <c r="F9" s="12" t="n"/>
      <c r="G9" s="12" t="n"/>
      <c r="H9" s="12" t="n"/>
      <c r="I9" s="12" t="n"/>
      <c r="J9" s="12" t="n"/>
      <c r="K9" s="13" t="inlineStr">
        <is>
          <t>COSTOS</t>
        </is>
      </c>
      <c r="L9" s="13" t="n"/>
      <c r="M9" s="13" t="n"/>
      <c r="N9" s="14" t="n"/>
      <c r="Q9" t="inlineStr">
        <is>
          <t>swap_compra</t>
        </is>
      </c>
      <c r="R9">
        <f>IFERROR(VLOOKUP($F$4,Datos!$A:$K,10,FALSE),0)</f>
        <v/>
      </c>
    </row>
    <row r="10" ht="34" customHeight="1">
      <c r="C10" s="15" t="inlineStr">
        <is>
          <t>DIRECCIÓN</t>
        </is>
      </c>
      <c r="D10" s="15" t="inlineStr">
        <is>
          <t>VOLUMEN EN LOTES</t>
        </is>
      </c>
      <c r="E10" s="15" t="inlineStr">
        <is>
          <t>MARGEN REQUERIDO</t>
        </is>
      </c>
      <c r="F10" s="15" t="inlineStr">
        <is>
          <t>APALANCAMIENTO (VECES)</t>
        </is>
      </c>
      <c r="G10" s="15" t="inlineStr">
        <is>
          <t>PRECIO DE ENTRADA</t>
        </is>
      </c>
      <c r="H10" s="15" t="inlineStr">
        <is>
          <t>PRECIO DE SALIDA</t>
        </is>
      </c>
      <c r="I10" s="15" t="inlineStr">
        <is>
          <t>DÍAS ABIERTA</t>
        </is>
      </c>
      <c r="J10" s="15" t="inlineStr">
        <is>
          <t>RESULTADO BRUTO</t>
        </is>
      </c>
      <c r="K10" s="16" t="inlineStr">
        <is>
          <t>COSTO DE APERTURA (SPREAD)</t>
        </is>
      </c>
      <c r="L10" s="16" t="inlineStr">
        <is>
          <t>COSTO DE MANTENCIÓN (SWAP)</t>
        </is>
      </c>
      <c r="M10" s="16" t="inlineStr">
        <is>
          <t>RESULTADO NETO</t>
        </is>
      </c>
      <c r="N10" s="15" t="inlineStr">
        <is>
          <t>OBSERVACIÓN</t>
        </is>
      </c>
      <c r="Q10" t="inlineStr">
        <is>
          <t>swap_venta</t>
        </is>
      </c>
      <c r="R10">
        <f>IFERROR(VLOOKUP($F$4,Datos!$A:$K,11,FALSE),0)</f>
        <v/>
      </c>
    </row>
    <row r="11" ht="24" customHeight="1">
      <c r="C11" s="4" t="inlineStr">
        <is>
          <t>COMPRA</t>
        </is>
      </c>
      <c r="D11" s="17" t="n">
        <v>0.54</v>
      </c>
      <c r="E11" s="9">
        <f>IF($D11=0,"",$D11*$G11*$R$4*$R$5)</f>
        <v/>
      </c>
      <c r="F11" s="18">
        <f>IF(OR($D11=0,$F$5=0),"",$D11*$G11*$R$4/$F$5)</f>
        <v/>
      </c>
      <c r="G11" s="19" t="n">
        <v>918.75</v>
      </c>
      <c r="H11" s="19" t="n">
        <v>923.75</v>
      </c>
      <c r="I11" s="20" t="n">
        <v>2</v>
      </c>
      <c r="J11" s="9">
        <f>IF(OR($D11=0,$H11=0),"",IF($C11="COMPRA",$H11-$G11,$G11-$H11)*$D11*$R$4)</f>
        <v/>
      </c>
      <c r="K11" s="9">
        <f>IF($D11=0,"",$D11*$R$6*$R$4)</f>
        <v/>
      </c>
      <c r="L11" s="9">
        <f>IF(OR($D11=0,$I11=0),"",-IF($C11="VENTA",$R$10,$R$9)*IF($R$8=1,$D11*POWER(10,-$R$2)*$R$4,$D11*$G11*$R$4/100/360)*$I11)</f>
        <v/>
      </c>
      <c r="M11" s="9">
        <f>IF($D11=0,"",N($J11)-N($K11)-N($L11))</f>
        <v/>
      </c>
      <c r="N11" s="21">
        <f>IF(OR($D11=0,$H11=0),"",IF(AND($C11="COMPRA",$H11&lt;$G11),"precio de salida inferior a la entrada: resultado negativo en una compra",IF(AND($C11="VENTA",$H11&gt;$G11),"precio de salida superior a la entrada: resultado negativo en una venta","")))</f>
        <v/>
      </c>
      <c r="Q11" t="inlineStr">
        <is>
          <t>llamada_margen</t>
        </is>
      </c>
      <c r="R11" t="n">
        <v>90</v>
      </c>
    </row>
    <row r="12" ht="24" customHeight="1">
      <c r="C12" s="4" t="inlineStr">
        <is>
          <t>VENTA</t>
        </is>
      </c>
      <c r="D12" s="17" t="n">
        <v>0.43</v>
      </c>
      <c r="E12" s="9">
        <f>IF($D12=0,"",$D12*$G12*$R$4*$R$5)</f>
        <v/>
      </c>
      <c r="F12" s="18">
        <f>IF(OR($D12=0,$F$5=0),"",$D12*$G12*$R$4/$F$5)</f>
        <v/>
      </c>
      <c r="G12" s="19" t="n">
        <v>925.75</v>
      </c>
      <c r="H12" s="19" t="n">
        <v>922.75</v>
      </c>
      <c r="I12" s="20" t="n">
        <v>1</v>
      </c>
      <c r="J12" s="9">
        <f>IF(OR($D12=0,$H12=0),"",IF($C12="COMPRA",$H12-$G12,$G12-$H12)*$D12*$R$4)</f>
        <v/>
      </c>
      <c r="K12" s="9">
        <f>IF($D12=0,"",$D12*$R$6*$R$4)</f>
        <v/>
      </c>
      <c r="L12" s="9">
        <f>IF(OR($D12=0,$I12=0),"",-IF($C12="VENTA",$R$10,$R$9)*IF($R$8=1,$D12*POWER(10,-$R$2)*$R$4,$D12*$G12*$R$4/100/360)*$I12)</f>
        <v/>
      </c>
      <c r="M12" s="9">
        <f>IF($D12=0,"",N($J12)-N($K12)-N($L12))</f>
        <v/>
      </c>
      <c r="N12" s="21">
        <f>IF(OR($D12=0,$H12=0),"",IF(AND($C12="COMPRA",$H12&lt;$G12),"precio de salida inferior a la entrada: resultado negativo en una compra",IF(AND($C12="VENTA",$H12&gt;$G12),"precio de salida superior a la entrada: resultado negativo en una venta","")))</f>
        <v/>
      </c>
      <c r="Q12" t="inlineStr">
        <is>
          <t>cierre_forzado</t>
        </is>
      </c>
      <c r="R12" t="n">
        <v>50</v>
      </c>
    </row>
    <row r="13" ht="24" customHeight="1">
      <c r="C13" s="4" t="inlineStr">
        <is>
          <t>COMPRA</t>
        </is>
      </c>
      <c r="D13" s="17" t="n">
        <v>0.32</v>
      </c>
      <c r="E13" s="9">
        <f>IF($D13=0,"",$D13*$G13*$R$4*$R$5)</f>
        <v/>
      </c>
      <c r="F13" s="18">
        <f>IF(OR($D13=0,$F$5=0),"",$D13*$G13*$R$4/$F$5)</f>
        <v/>
      </c>
      <c r="G13" s="19" t="n">
        <v>921.75</v>
      </c>
      <c r="H13" s="19" t="n">
        <v>920.25</v>
      </c>
      <c r="I13" s="20" t="n">
        <v>0</v>
      </c>
      <c r="J13" s="9">
        <f>IF(OR($D13=0,$H13=0),"",IF($C13="COMPRA",$H13-$G13,$G13-$H13)*$D13*$R$4)</f>
        <v/>
      </c>
      <c r="K13" s="9">
        <f>IF($D13=0,"",$D13*$R$6*$R$4)</f>
        <v/>
      </c>
      <c r="L13" s="9">
        <f>IF(OR($D13=0,$I13=0),"",-IF($C13="VENTA",$R$10,$R$9)*IF($R$8=1,$D13*POWER(10,-$R$2)*$R$4,$D13*$G13*$R$4/100/360)*$I13)</f>
        <v/>
      </c>
      <c r="M13" s="9">
        <f>IF($D13=0,"",N($J13)-N($K13)-N($L13))</f>
        <v/>
      </c>
      <c r="N13" s="21">
        <f>IF(OR($D13=0,$H13=0),"",IF(AND($C13="COMPRA",$H13&lt;$G13),"precio de salida inferior a la entrada: resultado negativo en una compra",IF(AND($C13="VENTA",$H13&gt;$G13),"precio de salida superior a la entrada: resultado negativo en una venta","")))</f>
        <v/>
      </c>
    </row>
    <row r="14" ht="24" customHeight="1">
      <c r="C14" s="4" t="n"/>
      <c r="D14" s="17" t="n"/>
      <c r="E14" s="9">
        <f>IF($D14=0,"",$D14*$G14*$R$4*$R$5)</f>
        <v/>
      </c>
      <c r="F14" s="18">
        <f>IF(OR($D14=0,$F$5=0),"",$D14*$G14*$R$4/$F$5)</f>
        <v/>
      </c>
      <c r="G14" s="19" t="n"/>
      <c r="H14" s="19" t="n"/>
      <c r="I14" s="20" t="n"/>
      <c r="J14" s="9">
        <f>IF(OR($D14=0,$H14=0),"",IF($C14="COMPRA",$H14-$G14,$G14-$H14)*$D14*$R$4)</f>
        <v/>
      </c>
      <c r="K14" s="9">
        <f>IF($D14=0,"",$D14*$R$6*$R$4)</f>
        <v/>
      </c>
      <c r="L14" s="9">
        <f>IF(OR($D14=0,$I14=0),"",-IF($C14="VENTA",$R$10,$R$9)*IF($R$8=1,$D14*POWER(10,-$R$2)*$R$4,$D14*$G14*$R$4/100/360)*$I14)</f>
        <v/>
      </c>
      <c r="M14" s="9">
        <f>IF($D14=0,"",N($J14)-N($K14)-N($L14))</f>
        <v/>
      </c>
      <c r="N14" s="21">
        <f>IF(OR($D14=0,$H14=0),"",IF(AND($C14="COMPRA",$H14&lt;$G14),"precio de salida inferior a la entrada: resultado negativo en una compra",IF(AND($C14="VENTA",$H14&gt;$G14),"precio de salida superior a la entrada: resultado negativo en una venta","")))</f>
        <v/>
      </c>
    </row>
    <row r="15" ht="24" customHeight="1">
      <c r="C15" s="4" t="n"/>
      <c r="D15" s="17" t="n"/>
      <c r="E15" s="9">
        <f>IF($D15=0,"",$D15*$G15*$R$4*$R$5)</f>
        <v/>
      </c>
      <c r="F15" s="18">
        <f>IF(OR($D15=0,$F$5=0),"",$D15*$G15*$R$4/$F$5)</f>
        <v/>
      </c>
      <c r="G15" s="19" t="n"/>
      <c r="H15" s="19" t="n"/>
      <c r="I15" s="20" t="n"/>
      <c r="J15" s="9">
        <f>IF(OR($D15=0,$H15=0),"",IF($C15="COMPRA",$H15-$G15,$G15-$H15)*$D15*$R$4)</f>
        <v/>
      </c>
      <c r="K15" s="9">
        <f>IF($D15=0,"",$D15*$R$6*$R$4)</f>
        <v/>
      </c>
      <c r="L15" s="9">
        <f>IF(OR($D15=0,$I15=0),"",-IF($C15="VENTA",$R$10,$R$9)*IF($R$8=1,$D15*POWER(10,-$R$2)*$R$4,$D15*$G15*$R$4/100/360)*$I15)</f>
        <v/>
      </c>
      <c r="M15" s="9">
        <f>IF($D15=0,"",N($J15)-N($K15)-N($L15))</f>
        <v/>
      </c>
      <c r="N15" s="21">
        <f>IF(OR($D15=0,$H15=0),"",IF(AND($C15="COMPRA",$H15&lt;$G15),"precio de salida inferior a la entrada: resultado negativo en una compra",IF(AND($C15="VENTA",$H15&gt;$G15),"precio de salida superior a la entrada: resultado negativo en una venta","")))</f>
        <v/>
      </c>
    </row>
    <row r="16" ht="24" customHeight="1">
      <c r="C16" s="4" t="n"/>
      <c r="D16" s="17" t="n"/>
      <c r="E16" s="9">
        <f>IF($D16=0,"",$D16*$G16*$R$4*$R$5)</f>
        <v/>
      </c>
      <c r="F16" s="18">
        <f>IF(OR($D16=0,$F$5=0),"",$D16*$G16*$R$4/$F$5)</f>
        <v/>
      </c>
      <c r="G16" s="19" t="n"/>
      <c r="H16" s="19" t="n"/>
      <c r="I16" s="20" t="n"/>
      <c r="J16" s="9">
        <f>IF(OR($D16=0,$H16=0),"",IF($C16="COMPRA",$H16-$G16,$G16-$H16)*$D16*$R$4)</f>
        <v/>
      </c>
      <c r="K16" s="9">
        <f>IF($D16=0,"",$D16*$R$6*$R$4)</f>
        <v/>
      </c>
      <c r="L16" s="9">
        <f>IF(OR($D16=0,$I16=0),"",-IF($C16="VENTA",$R$10,$R$9)*IF($R$8=1,$D16*POWER(10,-$R$2)*$R$4,$D16*$G16*$R$4/100/360)*$I16)</f>
        <v/>
      </c>
      <c r="M16" s="9">
        <f>IF($D16=0,"",N($J16)-N($K16)-N($L16))</f>
        <v/>
      </c>
      <c r="N16" s="21">
        <f>IF(OR($D16=0,$H16=0),"",IF(AND($C16="COMPRA",$H16&lt;$G16),"precio de salida inferior a la entrada: resultado negativo en una compra",IF(AND($C16="VENTA",$H16&gt;$G16),"precio de salida superior a la entrada: resultado negativo en una venta","")))</f>
        <v/>
      </c>
    </row>
    <row r="17" ht="24" customHeight="1">
      <c r="C17" s="22" t="inlineStr">
        <is>
          <t>TOTALES</t>
        </is>
      </c>
      <c r="D17" s="23">
        <f>SUM(D11:D16)</f>
        <v/>
      </c>
      <c r="E17" s="24">
        <f>SUM(E11:E16)</f>
        <v/>
      </c>
      <c r="F17" s="25">
        <f>SUM(F11:F16)</f>
        <v/>
      </c>
      <c r="G17" s="22" t="n"/>
      <c r="H17" s="22" t="n"/>
      <c r="I17" s="22" t="n"/>
      <c r="J17" s="24">
        <f>SUM(J11:J16)</f>
        <v/>
      </c>
      <c r="K17" s="26">
        <f>SUM(K11:K16)</f>
        <v/>
      </c>
      <c r="L17" s="26">
        <f>SUM(L11:L16)</f>
        <v/>
      </c>
      <c r="M17" s="26">
        <f>SUM(M11:M16)</f>
        <v/>
      </c>
      <c r="N17" s="22" t="n"/>
    </row>
    <row r="19" ht="22" customHeight="1">
      <c r="J19" s="27" t="inlineStr">
        <is>
          <t>Monto total controlado</t>
        </is>
      </c>
      <c r="M19" s="9">
        <f>SUMPRODUCT($D$11:$D$16,$G$11:$G$16)*$R$4</f>
        <v/>
      </c>
    </row>
    <row r="20" ht="22" customHeight="1">
      <c r="J20" s="27" t="inlineStr">
        <is>
          <t>Apalancamiento total</t>
        </is>
      </c>
      <c r="M20" s="28">
        <f>$F$17</f>
        <v/>
      </c>
    </row>
    <row r="21" ht="22" customHeight="1">
      <c r="J21" s="27" t="inlineStr">
        <is>
          <t>Margen requerido (posiciones simultáneas)</t>
        </is>
      </c>
      <c r="M21" s="9">
        <f>$M$19*$R$5</f>
        <v/>
      </c>
    </row>
    <row r="22" ht="22" customHeight="1">
      <c r="J22" s="27" t="inlineStr">
        <is>
          <t>Nivel de margen al abrir</t>
        </is>
      </c>
      <c r="M22" s="29">
        <f>IF($M$21=0,"",100*$F$5/$M$21)</f>
        <v/>
      </c>
    </row>
    <row r="23" ht="22" customHeight="1">
      <c r="J23" s="27" t="inlineStr">
        <is>
          <t>Recorrido adverso hasta la llamada a margen</t>
        </is>
      </c>
      <c r="M23" s="7">
        <f>IF(OR($M$21=0,SUMPRODUCT((($C$11:$C$16="COMPRA")*2-1)*$D$11:$D$16)=0),"",MAX(0,ROUND(($F$5-$R$11/100*$M$21)/ABS(SUMPRODUCT((($C$11:$C$16="COMPRA")*2-1)*$D$11:$D$16)*$R$4),$R$2)))</f>
        <v/>
      </c>
    </row>
    <row r="24" ht="22" customHeight="1">
      <c r="J24" s="27" t="inlineStr">
        <is>
          <t>Resultado neto del periodo</t>
        </is>
      </c>
      <c r="M24" s="9">
        <f>$M$17</f>
        <v/>
      </c>
    </row>
    <row r="25" ht="22" customHeight="1">
      <c r="J25" s="30" t="inlineStr">
        <is>
          <t>Patrimonio final</t>
        </is>
      </c>
      <c r="M25" s="31">
        <f>$F$5+$M$17</f>
        <v/>
      </c>
    </row>
    <row r="27" ht="30" customHeight="1">
      <c r="C27" s="32" t="inlineStr">
        <is>
          <t>Especificaciones del broker al 2026-08-19 22:06 hora Chile. Celdas crema: campos editables; el resto son fórmulas. El volumen en lotes se escribe en múltiplos de 0,01, el paso que acepta MT5. APALANCAMIENTO son las veces que el capital de la cuenta queda controlado por esa operación, y la columna es aditiva: su total es el apalancamiento del periodo. El COSTO DE MANTENCIÓN (SWAP) se estima por días calendario. El broker llama a margen cuando el nivel baja de 90% y cierra posiciones en 50%. Este simulador no incorpora stop loss.</t>
        </is>
      </c>
      <c r="D27" s="32" t="n"/>
      <c r="E27" s="32" t="n"/>
      <c r="F27" s="32" t="n"/>
      <c r="G27" s="32" t="n"/>
      <c r="H27" s="32" t="n"/>
      <c r="I27" s="32" t="n"/>
      <c r="J27" s="32" t="n"/>
      <c r="K27" s="32" t="n"/>
      <c r="L27" s="32" t="n"/>
      <c r="M27" s="32" t="n"/>
      <c r="N27" s="32" t="n"/>
    </row>
  </sheetData>
  <sheetProtection selectLockedCells="0" selectUnlockedCells="0" sheet="1" objects="0" insertRows="1" insertHyperlinks="1" autoFilter="1" scenarios="0" formatColumns="1" deleteColumns="1" insertColumns="1" pivotTables="1" deleteRows="1" formatCells="0" formatRows="1" sort="1"/>
  <mergeCells count="20">
    <mergeCell ref="F4:G4"/>
    <mergeCell ref="J6:L6"/>
    <mergeCell ref="J24:L24"/>
    <mergeCell ref="J4:L4"/>
    <mergeCell ref="J20:L20"/>
    <mergeCell ref="J25:L25"/>
    <mergeCell ref="J22:L22"/>
    <mergeCell ref="C27:N27"/>
    <mergeCell ref="F5:G5"/>
    <mergeCell ref="C1:M1"/>
    <mergeCell ref="J21:L21"/>
    <mergeCell ref="C7:N7"/>
    <mergeCell ref="C9:J9"/>
    <mergeCell ref="J23:L23"/>
    <mergeCell ref="C2:M2"/>
    <mergeCell ref="J5:L5"/>
    <mergeCell ref="C5:E5"/>
    <mergeCell ref="K9:M9"/>
    <mergeCell ref="J19:L19"/>
    <mergeCell ref="C4:E4"/>
  </mergeCells>
  <conditionalFormatting sqref="J11:M17">
    <cfRule type="expression" priority="1" dxfId="0">
      <formula>AND(J11&lt;&gt;"",J11&lt;0)</formula>
    </cfRule>
  </conditionalFormatting>
  <conditionalFormatting sqref="N11:N16">
    <cfRule type="expression" priority="2" dxfId="0">
      <formula>$N11&lt;&gt;""</formula>
    </cfRule>
  </conditionalFormatting>
  <conditionalFormatting sqref="M25">
    <cfRule type="expression" priority="3" dxfId="0">
      <formula>$M$25&lt;$F$5</formula>
    </cfRule>
  </conditionalFormatting>
  <conditionalFormatting sqref="M22">
    <cfRule type="expression" priority="4" dxfId="0">
      <formula>$M$22&lt;$R$11</formula>
    </cfRule>
  </conditionalFormatting>
  <conditionalFormatting sqref="M23">
    <cfRule type="expression" priority="5" dxfId="0">
      <formula>$M$23&lt;=0</formula>
    </cfRule>
  </conditionalFormatting>
  <dataValidations count="6">
    <dataValidation sqref="F4" showDropDown="0" showInputMessage="0" showErrorMessage="1" allowBlank="0" errorTitle="Instrumento no válido" error="Seleccione un instrumento de la lista." type="list">
      <formula1>Datos!$A$2:$A$26</formula1>
    </dataValidation>
    <dataValidation sqref="C11 C12 C13 C14 C15 C16" showDropDown="0" showInputMessage="0" showErrorMessage="1" allowBlank="1" errorTitle="Dirección no válida" error="Seleccione COMPRA o VENTA." type="list">
      <formula1>"COMPRA,VENTA"</formula1>
    </dataValidation>
    <dataValidation sqref="D11 D12 D13 D14 D15 D16" showDropDown="0" showInputMessage="0" showErrorMessage="1" allowBlank="1" errorTitle="Volumen no válido" error="El volumen mínimo que acepta MT5 es 0,01 lotes, en múltiplos de 0,01. Use la coma como separador decimal: 0,54 y no 0.54." type="decimal" operator="greaterThanOrEqual">
      <formula1>0.01</formula1>
    </dataValidation>
    <dataValidation sqref="G11 G12 G13 G14 G15 G16 H11 H12 H13 H14 H15 H16" showDropDown="0" showInputMessage="0" showErrorMessage="1" allowBlank="1" errorTitle="Precio no válido" error="Escriba un precio numérico, con la coma como separador decimal: 918,75 y no 918.75." type="decimal" operator="greaterThan">
      <formula1>0</formula1>
    </dataValidation>
    <dataValidation sqref="I11 I12 I13 I14 I15 I16" showDropDown="0" showInputMessage="0" showErrorMessage="1" allowBlank="1" errorTitle="Días no válidos" error="Indique los días completos que la posición queda abierta (0 si se abre y cierra en la misma jornada)." type="whole" operator="between">
      <formula1>0</formula1>
      <formula2>3650</formula2>
    </dataValidation>
    <dataValidation sqref="F5" showDropDown="0" showInputMessage="0" showErrorMessage="1" allowBlank="0" errorTitle="Capital no válido" error="Escriba el capital de la cuenta en pesos, sin separador decimal." type="decimal" operator="greaterThan">
      <formula1>0</formula1>
    </dataValidation>
  </dataValidations>
  <pageMargins left="0.75" right="0.75" top="1" bottom="1" header="0.5" footer="0.5"/>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1" customWidth="1" min="3" max="3"/>
    <col width="17" customWidth="1" min="4" max="4"/>
    <col width="21" customWidth="1" min="5" max="5"/>
    <col width="10" customWidth="1" min="6" max="6"/>
    <col width="11" customWidth="1" min="7" max="7"/>
    <col width="13" customWidth="1" min="8" max="8"/>
    <col width="11" customWidth="1" min="9" max="9"/>
    <col width="13" customWidth="1" min="10" max="10"/>
    <col width="13" customWidth="1" min="11" max="11"/>
  </cols>
  <sheetData>
    <row r="1">
      <c r="A1" s="33" t="inlineStr">
        <is>
          <t>INSTRUMENTO</t>
        </is>
      </c>
      <c r="B1" s="33" t="inlineStr">
        <is>
          <t>TICKER MT5</t>
        </is>
      </c>
      <c r="C1" s="33" t="inlineStr">
        <is>
          <t>DECIMALES</t>
        </is>
      </c>
      <c r="D1" s="33" t="inlineStr">
        <is>
          <t>TAMAÑO DE CONTRATO (1 lote)</t>
        </is>
      </c>
      <c r="E1" s="33" t="inlineStr">
        <is>
          <t>VALOR EN CLP DE 1,0 DE PRECIO (POR LOTE)</t>
        </is>
      </c>
      <c r="F1" s="33" t="inlineStr">
        <is>
          <t>MARGEN</t>
        </is>
      </c>
      <c r="G1" s="33" t="inlineStr">
        <is>
          <t>SPREAD</t>
        </is>
      </c>
      <c r="H1" s="33" t="inlineStr">
        <is>
          <t>PRECIO DE REFERENCIA</t>
        </is>
      </c>
      <c r="I1" s="33" t="inlineStr">
        <is>
          <t>MODO SWAP</t>
        </is>
      </c>
      <c r="J1" s="33" t="inlineStr">
        <is>
          <t>SWAP COMPRA</t>
        </is>
      </c>
      <c r="K1" s="33" t="inlineStr">
        <is>
          <t>SWAP VENTA</t>
        </is>
      </c>
    </row>
    <row r="2">
      <c r="A2" t="inlineStr">
        <is>
          <t>Dólar / Peso Chileno</t>
        </is>
      </c>
      <c r="B2" t="inlineStr">
        <is>
          <t>USDCLP</t>
        </is>
      </c>
      <c r="C2" t="n">
        <v>2</v>
      </c>
      <c r="D2" t="n">
        <v>100000</v>
      </c>
      <c r="E2" t="n">
        <v>100000</v>
      </c>
      <c r="F2" s="34" t="n">
        <v>0.01</v>
      </c>
      <c r="G2" s="35" t="n">
        <v>1</v>
      </c>
      <c r="H2" s="35" t="n">
        <v>921.75</v>
      </c>
      <c r="I2" t="n">
        <v>1</v>
      </c>
      <c r="J2" t="n">
        <v>-7</v>
      </c>
      <c r="K2" t="n">
        <v>-0.1</v>
      </c>
    </row>
    <row r="3">
      <c r="A3" t="inlineStr">
        <is>
          <t>Dólar / Yen Japonés</t>
        </is>
      </c>
      <c r="B3" t="inlineStr">
        <is>
          <t>USDJPY</t>
        </is>
      </c>
      <c r="C3" t="n">
        <v>3</v>
      </c>
      <c r="D3" t="n">
        <v>100000</v>
      </c>
      <c r="E3" t="n">
        <v>578066.4</v>
      </c>
      <c r="F3" s="34" t="n">
        <v>0.010063</v>
      </c>
      <c r="G3" s="35" t="n">
        <v>0.04</v>
      </c>
      <c r="H3" s="35" t="n">
        <v>158.454</v>
      </c>
      <c r="I3" t="n">
        <v>1</v>
      </c>
      <c r="J3" t="n">
        <v>-2.513</v>
      </c>
      <c r="K3" t="n">
        <v>-3.631</v>
      </c>
    </row>
    <row r="4">
      <c r="A4" t="inlineStr">
        <is>
          <t>Euro / Dólar</t>
        </is>
      </c>
      <c r="B4" t="inlineStr">
        <is>
          <t>EURUSD</t>
        </is>
      </c>
      <c r="C4" t="n">
        <v>5</v>
      </c>
      <c r="D4" t="n">
        <v>100000</v>
      </c>
      <c r="E4" t="n">
        <v>92175000</v>
      </c>
      <c r="F4" s="34" t="n">
        <v>0.01</v>
      </c>
      <c r="G4" s="35" t="n">
        <v>0.00026</v>
      </c>
      <c r="H4" s="35" t="n">
        <v>1.16829</v>
      </c>
      <c r="I4" t="n">
        <v>1</v>
      </c>
      <c r="J4" t="n">
        <v>-5.455</v>
      </c>
      <c r="K4" t="n">
        <v>-1.09</v>
      </c>
    </row>
    <row r="5">
      <c r="A5" t="inlineStr">
        <is>
          <t>Libra / Dólar</t>
        </is>
      </c>
      <c r="B5" t="inlineStr">
        <is>
          <t>GBPUSD</t>
        </is>
      </c>
      <c r="C5" t="n">
        <v>5</v>
      </c>
      <c r="D5" t="n">
        <v>100000</v>
      </c>
      <c r="E5" t="n">
        <v>92175000</v>
      </c>
      <c r="F5" s="34" t="n">
        <v>0.01</v>
      </c>
      <c r="G5" s="35" t="n">
        <v>0.0005</v>
      </c>
      <c r="H5" s="35" t="n">
        <v>1.36157</v>
      </c>
      <c r="I5" t="n">
        <v>1</v>
      </c>
      <c r="J5" t="n">
        <v>-3.612</v>
      </c>
      <c r="K5" t="n">
        <v>-3.264</v>
      </c>
    </row>
    <row r="6">
      <c r="A6" t="inlineStr">
        <is>
          <t>Oro</t>
        </is>
      </c>
      <c r="B6" t="inlineStr">
        <is>
          <t>XAUUSD</t>
        </is>
      </c>
      <c r="C6" t="n">
        <v>2</v>
      </c>
      <c r="D6" t="n">
        <v>100</v>
      </c>
      <c r="E6" t="n">
        <v>92075</v>
      </c>
      <c r="F6" s="34" t="n">
        <v>0.045049</v>
      </c>
      <c r="G6" s="35" t="n">
        <v>0.6</v>
      </c>
      <c r="H6" s="35" t="n">
        <v>4498.2</v>
      </c>
      <c r="I6" t="n">
        <v>1</v>
      </c>
      <c r="J6" t="n">
        <v>-16</v>
      </c>
      <c r="K6" t="n">
        <v>-6</v>
      </c>
    </row>
    <row r="7">
      <c r="A7" t="inlineStr">
        <is>
          <t>Plata</t>
        </is>
      </c>
      <c r="B7" t="inlineStr">
        <is>
          <t>XAGUSD</t>
        </is>
      </c>
      <c r="C7" t="n">
        <v>3</v>
      </c>
      <c r="D7" t="n">
        <v>5000</v>
      </c>
      <c r="E7" t="n">
        <v>4603750</v>
      </c>
      <c r="F7" s="34" t="n">
        <v>0.045049</v>
      </c>
      <c r="G7" s="35" t="n">
        <v>0.05</v>
      </c>
      <c r="H7" s="35" t="n">
        <v>67.175</v>
      </c>
      <c r="I7" t="n">
        <v>1</v>
      </c>
      <c r="J7" t="n">
        <v>-4</v>
      </c>
      <c r="K7" t="n">
        <v>-1</v>
      </c>
    </row>
    <row r="8">
      <c r="A8" t="inlineStr">
        <is>
          <t>Petróleo WTI</t>
        </is>
      </c>
      <c r="B8" t="inlineStr">
        <is>
          <t>WTI.spot</t>
        </is>
      </c>
      <c r="C8" t="n">
        <v>3</v>
      </c>
      <c r="D8" t="n">
        <v>1000</v>
      </c>
      <c r="E8" t="n">
        <v>920750</v>
      </c>
      <c r="F8" s="34" t="n">
        <v>0.015016</v>
      </c>
      <c r="G8" s="35" t="n">
        <v>0.15</v>
      </c>
      <c r="H8" s="35" t="n">
        <v>85.505</v>
      </c>
      <c r="I8" t="n">
        <v>1</v>
      </c>
      <c r="J8" t="n">
        <v>-20</v>
      </c>
      <c r="K8" t="n">
        <v>-15</v>
      </c>
    </row>
    <row r="9">
      <c r="A9" t="inlineStr">
        <is>
          <t>Bitcoin</t>
        </is>
      </c>
      <c r="B9" t="inlineStr">
        <is>
          <t>BTCUSD</t>
        </is>
      </c>
      <c r="C9" t="n">
        <v>2</v>
      </c>
      <c r="D9" t="n">
        <v>1</v>
      </c>
      <c r="E9" t="n">
        <v>920.75</v>
      </c>
      <c r="F9" s="34" t="n">
        <v>0.015016</v>
      </c>
      <c r="G9" s="35" t="n">
        <v>79.2</v>
      </c>
      <c r="H9" s="35" t="n">
        <v>69728.5</v>
      </c>
      <c r="I9" t="n">
        <v>5</v>
      </c>
      <c r="J9" t="n">
        <v>-0.288</v>
      </c>
      <c r="K9" t="n">
        <v>-0.082</v>
      </c>
    </row>
    <row r="10">
      <c r="A10" t="inlineStr">
        <is>
          <t>Nasdaq 100</t>
        </is>
      </c>
      <c r="B10" t="inlineStr">
        <is>
          <t>US100.spot</t>
        </is>
      </c>
      <c r="C10" t="n">
        <v>2</v>
      </c>
      <c r="D10" t="n">
        <v>1</v>
      </c>
      <c r="E10" t="n">
        <v>920.75</v>
      </c>
      <c r="F10" s="34" t="n">
        <v>0.050054</v>
      </c>
      <c r="G10" s="35" t="n">
        <v>1</v>
      </c>
      <c r="H10" s="35" t="n">
        <v>29606.18</v>
      </c>
      <c r="I10" t="n">
        <v>5</v>
      </c>
      <c r="J10" t="n">
        <v>-3.8415</v>
      </c>
      <c r="K10" t="n">
        <v>-1.9899</v>
      </c>
    </row>
    <row r="11">
      <c r="A11" t="inlineStr">
        <is>
          <t>S&amp;P 500</t>
        </is>
      </c>
      <c r="B11" t="inlineStr">
        <is>
          <t>US500.spot</t>
        </is>
      </c>
      <c r="C11" t="n">
        <v>2</v>
      </c>
      <c r="D11" t="n">
        <v>1</v>
      </c>
      <c r="E11" t="n">
        <v>920.75</v>
      </c>
      <c r="F11" s="34" t="n">
        <v>0.050054</v>
      </c>
      <c r="G11" s="35" t="n">
        <v>1</v>
      </c>
      <c r="H11" s="35" t="n">
        <v>7732.36</v>
      </c>
      <c r="I11" t="n">
        <v>5</v>
      </c>
      <c r="J11" t="n">
        <v>-3.8415</v>
      </c>
      <c r="K11" t="n">
        <v>-1.9899</v>
      </c>
    </row>
    <row r="12">
      <c r="A12" t="inlineStr">
        <is>
          <t>Dow Jones Industrial</t>
        </is>
      </c>
      <c r="B12" t="inlineStr">
        <is>
          <t>US30.spot</t>
        </is>
      </c>
      <c r="C12" t="n">
        <v>2</v>
      </c>
      <c r="D12" t="n">
        <v>1</v>
      </c>
      <c r="E12" t="n">
        <v>920.75</v>
      </c>
      <c r="F12" s="34" t="n">
        <v>0.050054</v>
      </c>
      <c r="G12" s="35" t="n">
        <v>7</v>
      </c>
      <c r="H12" s="35" t="n">
        <v>53515.51</v>
      </c>
      <c r="I12" t="n">
        <v>5</v>
      </c>
      <c r="J12" t="n">
        <v>-3.6161</v>
      </c>
      <c r="K12" t="n">
        <v>-1.9353</v>
      </c>
    </row>
    <row r="13">
      <c r="A13" t="inlineStr">
        <is>
          <t>Apple Inc.</t>
        </is>
      </c>
      <c r="B13" t="inlineStr">
        <is>
          <t>#AAPL</t>
        </is>
      </c>
      <c r="C13" t="n">
        <v>2</v>
      </c>
      <c r="D13" t="n">
        <v>50</v>
      </c>
      <c r="E13" t="n">
        <v>46037.5</v>
      </c>
      <c r="F13" s="34" t="n">
        <v>0.005005</v>
      </c>
      <c r="G13" s="35" t="n">
        <v>0.32</v>
      </c>
      <c r="H13" s="35" t="n">
        <v>316.63</v>
      </c>
      <c r="I13" t="n">
        <v>5</v>
      </c>
      <c r="J13" t="n">
        <v>-5.1</v>
      </c>
      <c r="K13" t="n">
        <v>-5.1</v>
      </c>
    </row>
    <row r="14">
      <c r="A14" t="inlineStr">
        <is>
          <t>Microsoft Corp.</t>
        </is>
      </c>
      <c r="B14" t="inlineStr">
        <is>
          <t>#MSFT</t>
        </is>
      </c>
      <c r="C14" t="n">
        <v>2</v>
      </c>
      <c r="D14" t="n">
        <v>50</v>
      </c>
      <c r="E14" t="n">
        <v>46037.5</v>
      </c>
      <c r="F14" s="34" t="n">
        <v>0.005005</v>
      </c>
      <c r="G14" s="35" t="n">
        <v>0.6</v>
      </c>
      <c r="H14" s="35" t="n">
        <v>483.99</v>
      </c>
      <c r="I14" t="n">
        <v>5</v>
      </c>
      <c r="J14" t="n">
        <v>-5.1</v>
      </c>
      <c r="K14" t="n">
        <v>-5.1</v>
      </c>
    </row>
    <row r="15">
      <c r="A15" t="inlineStr">
        <is>
          <t>NVIDIA Corp.</t>
        </is>
      </c>
      <c r="B15" t="inlineStr">
        <is>
          <t>#NVDA</t>
        </is>
      </c>
      <c r="C15" t="n">
        <v>2</v>
      </c>
      <c r="D15" t="n">
        <v>50</v>
      </c>
      <c r="E15" t="n">
        <v>46037.5</v>
      </c>
      <c r="F15" s="34" t="n">
        <v>0.005005</v>
      </c>
      <c r="G15" s="35" t="n">
        <v>0.9</v>
      </c>
      <c r="H15" s="35" t="n">
        <v>218.24</v>
      </c>
      <c r="I15" t="n">
        <v>5</v>
      </c>
      <c r="J15" t="n">
        <v>-5.1</v>
      </c>
      <c r="K15" t="n">
        <v>-5.1</v>
      </c>
    </row>
    <row r="16">
      <c r="A16" t="inlineStr">
        <is>
          <t>Amazon.com Inc.</t>
        </is>
      </c>
      <c r="B16" t="inlineStr">
        <is>
          <t>#AMZN</t>
        </is>
      </c>
      <c r="C16" t="n">
        <v>2</v>
      </c>
      <c r="D16" t="n">
        <v>50</v>
      </c>
      <c r="E16" t="n">
        <v>46037.5</v>
      </c>
      <c r="F16" s="34" t="n">
        <v>0.007508</v>
      </c>
      <c r="G16" s="35" t="n">
        <v>0.31</v>
      </c>
      <c r="H16" s="35" t="n">
        <v>266.22</v>
      </c>
      <c r="I16" t="n">
        <v>5</v>
      </c>
      <c r="J16" t="n">
        <v>-5.1</v>
      </c>
      <c r="K16" t="n">
        <v>-5.1</v>
      </c>
    </row>
    <row r="17">
      <c r="A17" t="inlineStr">
        <is>
          <t>Advanced Micro Devices</t>
        </is>
      </c>
      <c r="B17" t="inlineStr">
        <is>
          <t>#AMD</t>
        </is>
      </c>
      <c r="C17" t="n">
        <v>2</v>
      </c>
      <c r="D17" t="n">
        <v>50</v>
      </c>
      <c r="E17" t="n">
        <v>46037.5</v>
      </c>
      <c r="F17" s="34" t="n">
        <v>0.005005</v>
      </c>
      <c r="G17" s="35" t="n">
        <v>0.26</v>
      </c>
      <c r="H17" s="35" t="n">
        <v>467.08</v>
      </c>
      <c r="I17" t="n">
        <v>5</v>
      </c>
      <c r="J17" t="n">
        <v>-5.1</v>
      </c>
      <c r="K17" t="n">
        <v>-5.1</v>
      </c>
    </row>
    <row r="18">
      <c r="A18" t="inlineStr">
        <is>
          <t>MercadoLibre Inc.</t>
        </is>
      </c>
      <c r="B18" t="inlineStr">
        <is>
          <t>#MELI</t>
        </is>
      </c>
      <c r="C18" t="n">
        <v>2</v>
      </c>
      <c r="D18" t="n">
        <v>50</v>
      </c>
      <c r="E18" t="n">
        <v>46037.5</v>
      </c>
      <c r="F18" s="34" t="n">
        <v>0.005005</v>
      </c>
      <c r="G18" s="35" t="n">
        <v>7</v>
      </c>
      <c r="H18" s="35" t="n">
        <v>1917.47</v>
      </c>
      <c r="I18" t="n">
        <v>5</v>
      </c>
      <c r="J18" t="n">
        <v>-5.1</v>
      </c>
      <c r="K18" t="n">
        <v>-5.1</v>
      </c>
    </row>
    <row r="19">
      <c r="A19" t="inlineStr">
        <is>
          <t>JPMorgan Chase</t>
        </is>
      </c>
      <c r="B19" t="inlineStr">
        <is>
          <t>#JPM</t>
        </is>
      </c>
      <c r="C19" t="n">
        <v>2</v>
      </c>
      <c r="D19" t="n">
        <v>50</v>
      </c>
      <c r="E19" t="n">
        <v>46037.5</v>
      </c>
      <c r="F19" s="34" t="n">
        <v>0.002503</v>
      </c>
      <c r="G19" s="35" t="n">
        <v>0.25</v>
      </c>
      <c r="H19" s="35" t="n">
        <v>357.55</v>
      </c>
      <c r="I19" t="n">
        <v>5</v>
      </c>
      <c r="J19" t="n">
        <v>-5.1</v>
      </c>
      <c r="K19" t="n">
        <v>-5.1</v>
      </c>
    </row>
    <row r="20">
      <c r="A20" t="inlineStr">
        <is>
          <t>Bank of America</t>
        </is>
      </c>
      <c r="B20" t="inlineStr">
        <is>
          <t>#BAC</t>
        </is>
      </c>
      <c r="C20" t="n">
        <v>2</v>
      </c>
      <c r="D20" t="n">
        <v>50</v>
      </c>
      <c r="E20" t="n">
        <v>46037.5</v>
      </c>
      <c r="F20" s="34" t="n">
        <v>0.005005</v>
      </c>
      <c r="G20" s="35" t="n">
        <v>0.08</v>
      </c>
      <c r="H20" s="35" t="n">
        <v>63.19</v>
      </c>
      <c r="I20" t="n">
        <v>5</v>
      </c>
      <c r="J20" t="n">
        <v>-5.1</v>
      </c>
      <c r="K20" t="n">
        <v>-5.1</v>
      </c>
    </row>
    <row r="21">
      <c r="A21" t="inlineStr">
        <is>
          <t>Goldman Sachs</t>
        </is>
      </c>
      <c r="B21" t="inlineStr">
        <is>
          <t>#GS</t>
        </is>
      </c>
      <c r="C21" t="n">
        <v>2</v>
      </c>
      <c r="D21" t="n">
        <v>50</v>
      </c>
      <c r="E21" t="n">
        <v>46037.5</v>
      </c>
      <c r="F21" s="34" t="n">
        <v>0.002503</v>
      </c>
      <c r="G21" s="35" t="n">
        <v>0.7000000000000001</v>
      </c>
      <c r="H21" s="35" t="n">
        <v>1021.38</v>
      </c>
      <c r="I21" t="n">
        <v>5</v>
      </c>
      <c r="J21" t="n">
        <v>-5.1</v>
      </c>
      <c r="K21" t="n">
        <v>-5.1</v>
      </c>
    </row>
    <row r="22">
      <c r="A22" t="inlineStr">
        <is>
          <t>Morgan Stanley</t>
        </is>
      </c>
      <c r="B22" t="inlineStr">
        <is>
          <t>#MS</t>
        </is>
      </c>
      <c r="C22" t="n">
        <v>2</v>
      </c>
      <c r="D22" t="n">
        <v>50</v>
      </c>
      <c r="E22" t="n">
        <v>46037.5</v>
      </c>
      <c r="F22" s="34" t="n">
        <v>0.005005</v>
      </c>
      <c r="G22" s="35" t="n">
        <v>0.11</v>
      </c>
      <c r="H22" s="35" t="n">
        <v>214.59</v>
      </c>
      <c r="I22" t="n">
        <v>5</v>
      </c>
      <c r="J22" t="n">
        <v>-5.1</v>
      </c>
      <c r="K22" t="n">
        <v>-5.1</v>
      </c>
    </row>
    <row r="23">
      <c r="A23" t="inlineStr">
        <is>
          <t>Boeing Co.</t>
        </is>
      </c>
      <c r="B23" t="inlineStr">
        <is>
          <t>#BA</t>
        </is>
      </c>
      <c r="C23" t="n">
        <v>2</v>
      </c>
      <c r="D23" t="n">
        <v>50</v>
      </c>
      <c r="E23" t="n">
        <v>46037.5</v>
      </c>
      <c r="F23" s="34" t="n">
        <v>0.005005</v>
      </c>
      <c r="G23" s="35" t="n">
        <v>0.89</v>
      </c>
      <c r="H23" s="35" t="n">
        <v>221.83</v>
      </c>
      <c r="I23" t="n">
        <v>5</v>
      </c>
      <c r="J23" t="n">
        <v>-5.1</v>
      </c>
      <c r="K23" t="n">
        <v>-5.1</v>
      </c>
    </row>
    <row r="24">
      <c r="A24" t="inlineStr">
        <is>
          <t>Caterpillar Inc.</t>
        </is>
      </c>
      <c r="B24" t="inlineStr">
        <is>
          <t>#CAT</t>
        </is>
      </c>
      <c r="C24" t="n">
        <v>2</v>
      </c>
      <c r="D24" t="n">
        <v>50</v>
      </c>
      <c r="E24" t="n">
        <v>46037.5</v>
      </c>
      <c r="F24" s="34" t="n">
        <v>0.002503</v>
      </c>
      <c r="G24" s="35" t="n">
        <v>0.45</v>
      </c>
      <c r="H24" s="35" t="n">
        <v>815.77</v>
      </c>
      <c r="I24" t="n">
        <v>5</v>
      </c>
      <c r="J24" t="n">
        <v>-5.1</v>
      </c>
      <c r="K24" t="n">
        <v>-5.1</v>
      </c>
    </row>
    <row r="25">
      <c r="A25" t="inlineStr">
        <is>
          <t>GE Aerospace</t>
        </is>
      </c>
      <c r="B25" t="inlineStr">
        <is>
          <t>#GE</t>
        </is>
      </c>
      <c r="C25" t="n">
        <v>2</v>
      </c>
      <c r="D25" t="n">
        <v>50</v>
      </c>
      <c r="E25" t="n">
        <v>46037.5</v>
      </c>
      <c r="F25" s="34" t="n">
        <v>0.002503</v>
      </c>
      <c r="G25" s="35" t="n">
        <v>0.21</v>
      </c>
      <c r="H25" s="35" t="n">
        <v>357.22</v>
      </c>
      <c r="I25" t="n">
        <v>5</v>
      </c>
      <c r="J25" t="n">
        <v>-5.1</v>
      </c>
      <c r="K25" t="n">
        <v>-5.1</v>
      </c>
    </row>
    <row r="26">
      <c r="A26" t="inlineStr">
        <is>
          <t>Deere &amp; Co.</t>
        </is>
      </c>
      <c r="B26" t="inlineStr">
        <is>
          <t>#DE</t>
        </is>
      </c>
      <c r="C26" t="n">
        <v>2</v>
      </c>
      <c r="D26" t="n">
        <v>50</v>
      </c>
      <c r="E26" t="n">
        <v>46037.5</v>
      </c>
      <c r="F26" s="34" t="n">
        <v>0.005005</v>
      </c>
      <c r="G26" s="35" t="n">
        <v>0.77</v>
      </c>
      <c r="H26" s="35" t="n">
        <v>582.4299999999999</v>
      </c>
      <c r="I26" t="n">
        <v>5</v>
      </c>
      <c r="J26" t="n">
        <v>-5.1</v>
      </c>
      <c r="K26" t="n">
        <v>-5.1</v>
      </c>
    </row>
    <row r="28">
      <c r="A28" s="36" t="inlineStr">
        <is>
          <t>Actualizado desde MT5 (cuenta 51142, CLP) el 2026-08-19 22:06 hora Chile. No editar a mano: se regenera con scripts/simulador_gi.py. MODO SWAP 1 = puntos por día por lote; 5 = interés anual sobre el nocional (año de 360 días).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2026-08-20T02:06:06Z</dcterms:created>
  <dcterms:modified xsi:type="dcterms:W3CDTF">2026-08-20T02:06:06Z</dcterms:modified>
</cp:coreProperties>
</file>