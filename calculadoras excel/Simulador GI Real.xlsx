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Datos" sheetId="2" state="visible" r:id="rId2"/>
  </sheets>
  <definedNames>
    <definedName name="_xlnm.Print_Area" localSheetId="0">'Simulador'!$B$1:$O$28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###"/>
    <numFmt numFmtId="165" formatCode="&quot;$&quot;#,##0"/>
    <numFmt numFmtId="166" formatCode="0.0"/>
    <numFmt numFmtId="167" formatCode="0.0&quot; veces&quot;"/>
    <numFmt numFmtId="168" formatCode="0&quot;%&quot;"/>
  </numFmts>
  <fonts count="14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color rgb="00808080"/>
      <sz val="9"/>
    </font>
    <font>
      <b val="1"/>
      <color rgb="00FFFFFF"/>
      <sz val="18"/>
    </font>
    <font>
      <i val="1"/>
      <color rgb="00595959"/>
      <sz val="10"/>
    </font>
    <font>
      <b val="1"/>
      <sz val="11"/>
    </font>
    <font>
      <b val="1"/>
      <color rgb="000000C0"/>
      <sz val="11"/>
    </font>
    <font>
      <color rgb="00595959"/>
      <sz val="10"/>
    </font>
    <font>
      <b val="1"/>
      <color rgb="00000000"/>
      <sz val="11"/>
    </font>
    <font>
      <b val="1"/>
      <color rgb="00FFFFFF"/>
      <sz val="12"/>
    </font>
    <font>
      <color rgb="00000000"/>
      <sz val="9"/>
    </font>
    <font>
      <b val="1"/>
      <color rgb="00FFFFFF"/>
      <sz val="11"/>
    </font>
    <font>
      <sz val="11"/>
    </font>
    <font>
      <b val="1"/>
      <color rgb="00000000"/>
      <sz val="13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50C0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4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7" fillId="0" borderId="0" applyAlignment="1" pivotButton="0" quotePrefix="0" xfId="0">
      <alignment horizontal="right" vertical="center"/>
    </xf>
    <xf numFmtId="164" fontId="8" fillId="5" borderId="1" applyAlignment="1" pivotButton="0" quotePrefix="0" xfId="0">
      <alignment horizontal="center" vertical="center"/>
    </xf>
    <xf numFmtId="165" fontId="6" fillId="4" borderId="1" applyAlignment="1" applyProtection="1" pivotButton="0" quotePrefix="0" xfId="0">
      <alignment horizontal="center" vertical="center"/>
      <protection locked="0" hidden="0"/>
    </xf>
    <xf numFmtId="165" fontId="8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9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2" fontId="6" fillId="4" borderId="1" applyAlignment="1" applyProtection="1" pivotButton="0" quotePrefix="0" xfId="0">
      <alignment horizontal="center" vertical="center"/>
      <protection locked="0" hidden="0"/>
    </xf>
    <xf numFmtId="166" fontId="8" fillId="5" borderId="1" applyAlignment="1" pivotButton="0" quotePrefix="0" xfId="0">
      <alignment horizontal="center" vertical="center"/>
    </xf>
    <xf numFmtId="164" fontId="6" fillId="4" borderId="1" applyAlignment="1" applyProtection="1" pivotButton="0" quotePrefix="0" xfId="0">
      <alignment horizontal="center" vertical="center"/>
      <protection locked="0" hidden="0"/>
    </xf>
    <xf numFmtId="1" fontId="6" fillId="4" borderId="1" applyAlignment="1" applyProtection="1" pivotButton="0" quotePrefix="0" xfId="0">
      <alignment horizontal="center" vertical="center"/>
      <protection locked="0" hidden="0"/>
    </xf>
    <xf numFmtId="0" fontId="10" fillId="5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6" fontId="11" fillId="2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167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5" fontId="13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638175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R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3" customWidth="1" min="3" max="3"/>
    <col width="14" customWidth="1" min="4" max="4"/>
    <col width="14" customWidth="1" min="5" max="5"/>
    <col width="16" customWidth="1" min="6" max="6"/>
    <col width="13" customWidth="1" min="7" max="7"/>
    <col width="13" customWidth="1" min="8" max="8"/>
    <col width="11" customWidth="1" min="9" max="9"/>
    <col width="14" customWidth="1" min="10" max="10"/>
    <col width="15" customWidth="1" min="11" max="11"/>
    <col width="16" customWidth="1" min="12" max="12"/>
    <col width="15" customWidth="1" min="13" max="13"/>
    <col width="26" customWidth="1" min="14" max="14"/>
    <col width="3" customWidth="1" min="15" max="15"/>
    <col hidden="1" width="13" customWidth="1" min="17" max="17"/>
    <col hidden="1" width="13" customWidth="1" min="18" max="18"/>
  </cols>
  <sheetData>
    <row r="1" ht="34" customHeight="1">
      <c r="C1" s="1" t="inlineStr">
        <is>
          <t>SIMULADOR DE OPERACIONES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Q1" t="inlineStr">
        <is>
          <t>ticker</t>
        </is>
      </c>
      <c r="R1">
        <f>IFERROR(VLOOKUP($F$4,Datos!$A:$N,2,FALSE),0)</f>
        <v/>
      </c>
    </row>
    <row r="2" ht="24" customHeight="1">
      <c r="C2" s="2" t="inlineStr">
        <is>
          <t>Se escribe el volumen en lotes, la unidad del terminal. La planilla calcula el margen que bloquea, el apalancamiento y los costos.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Q2" t="inlineStr">
        <is>
          <t>digits</t>
        </is>
      </c>
      <c r="R2">
        <f>IFERROR(VLOOKUP($F$4,Datos!$A:$N,3,FALSE),0)</f>
        <v/>
      </c>
    </row>
    <row r="3">
      <c r="Q3" t="inlineStr">
        <is>
          <t>contrato</t>
        </is>
      </c>
      <c r="R3">
        <f>IFERROR(VLOOKUP($F$4,Datos!$A:$N,4,FALSE),0)</f>
        <v/>
      </c>
    </row>
    <row r="4" ht="26" customHeight="1">
      <c r="C4" s="3" t="inlineStr">
        <is>
          <t>1 · Instrumento</t>
        </is>
      </c>
      <c r="F4" s="4" t="inlineStr">
        <is>
          <t>Dólar / Peso Chileno</t>
        </is>
      </c>
      <c r="G4" s="5" t="n"/>
      <c r="J4" s="6" t="inlineStr">
        <is>
          <t>Precio de referencia</t>
        </is>
      </c>
      <c r="M4" s="7">
        <f>$R$7</f>
        <v/>
      </c>
      <c r="Q4" t="inlineStr">
        <is>
          <t>clp_unidad</t>
        </is>
      </c>
      <c r="R4">
        <f>IFERROR(VLOOKUP($F$4,Datos!$A:$N,5,FALSE),0)</f>
        <v/>
      </c>
    </row>
    <row r="5" ht="26" customHeight="1">
      <c r="C5" s="3" t="inlineStr">
        <is>
          <t>2 · Capital de la cuenta</t>
        </is>
      </c>
      <c r="F5" s="8" t="n">
        <v>2000000</v>
      </c>
      <c r="G5" s="5" t="n"/>
      <c r="J5" s="6">
        <f>"Capital mínimo ("&amp;FIXED($R$13,2)&amp;" lotes)"</f>
        <v/>
      </c>
      <c r="M5" s="9">
        <f>$R$13*$R$7*$R$4*$R$5</f>
        <v/>
      </c>
      <c r="Q5" t="inlineStr">
        <is>
          <t>tasa</t>
        </is>
      </c>
      <c r="R5">
        <f>IFERROR(VLOOKUP($F$4,Datos!$A:$N,6,FALSE),0)</f>
        <v/>
      </c>
    </row>
    <row r="6">
      <c r="J6" s="6" t="inlineStr">
        <is>
          <t>Spread vigente al generar</t>
        </is>
      </c>
      <c r="M6" s="7">
        <f>$R$6</f>
        <v/>
      </c>
      <c r="Q6" t="inlineStr">
        <is>
          <t>spread</t>
        </is>
      </c>
      <c r="R6">
        <f>IFERROR(VLOOKUP($F$4,Datos!$A:$N,7,FALSE),0)</f>
        <v/>
      </c>
    </row>
    <row r="7" ht="30" customHeight="1">
      <c r="C7" s="10">
        <f>IF($F$4="","⚠ Seleccione un instrumento de la lista.",IF(SUMPRODUCT(--ISTEXT($D$11:$D$16))+SUMPRODUCT(--ISTEXT($G$11:$H$16))+SUMPRODUCT(--ISTEXT($I$11:$I$16))&gt;0,"⚠ Hay un valor escrito como texto. El separador decimal de este Excel es la coma: escriba 0,54 y no 0.54.",IF(SUMPRODUCT(($D$11:$D$16&gt;0)*($G$11:$G$16=0))&gt;0,"⚠ Hay una operación con volumen y sin precio de entrada.",IF(SUMPRODUCT(($G$11:$G$16&gt;0)*(ABS($G$11:$G$16/$R$7-1)&gt;0.1))&gt;0,"⚠ Un precio de entrada difiere en más de 10% del precio de referencia ($"&amp;FIXED($R$7,$R$2)&amp;"). Verifique que corresponda al instrumento seleccionado.",IF(IFERROR(SUMPRODUCT(($D$11:$D$16&gt;0)*(($D$11:$D$16&lt;$R$13)+(MOD(ROUND($D$11:$D$16/$R$14,6),1)&lt;&gt;0)))&gt;0,FALSE),"⚠ Hay un volumen inválido para este instrumento: el mínimo es "&amp;FIXED($R$13,2)&amp;" lotes y debe ir en múltiplos de "&amp;FIXED($R$14,2)&amp;".",IF($M$21&gt;$F$5,"⚠ El margen requerido excede el capital de la cuenta.","✓ "&amp;COUNTIF($D$11:$D$16,"&gt;0")&amp;" operación(es) sobre "&amp;$R$1&amp;". El volumen en lotes es el que se ingresa en MT5."))))))</f>
        <v/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Q7" t="inlineStr">
        <is>
          <t>precio_ref</t>
        </is>
      </c>
      <c r="R7">
        <f>IFERROR(VLOOKUP($F$4,Datos!$A:$N,8,FALSE),0)</f>
        <v/>
      </c>
    </row>
    <row r="8">
      <c r="Q8" t="inlineStr">
        <is>
          <t>swap_modo</t>
        </is>
      </c>
      <c r="R8">
        <f>IFERROR(VLOOKUP($F$4,Datos!$A:$N,9,FALSE),0)</f>
        <v/>
      </c>
    </row>
    <row r="9" ht="24" customHeight="1">
      <c r="C9" s="12" t="inlineStr">
        <is>
          <t>SIMULACIÓN</t>
        </is>
      </c>
      <c r="D9" s="12" t="n"/>
      <c r="E9" s="12" t="n"/>
      <c r="F9" s="12" t="n"/>
      <c r="G9" s="12" t="n"/>
      <c r="H9" s="12" t="n"/>
      <c r="I9" s="12" t="n"/>
      <c r="J9" s="12" t="n"/>
      <c r="K9" s="13" t="inlineStr">
        <is>
          <t>COSTOS</t>
        </is>
      </c>
      <c r="L9" s="13" t="n"/>
      <c r="M9" s="13" t="n"/>
      <c r="N9" s="14" t="n"/>
      <c r="Q9" t="inlineStr">
        <is>
          <t>swap_compra</t>
        </is>
      </c>
      <c r="R9">
        <f>IFERROR(VLOOKUP($F$4,Datos!$A:$N,10,FALSE),0)</f>
        <v/>
      </c>
    </row>
    <row r="10" ht="34" customHeight="1">
      <c r="C10" s="15" t="inlineStr">
        <is>
          <t>DIRECCIÓN</t>
        </is>
      </c>
      <c r="D10" s="15" t="inlineStr">
        <is>
          <t>VOLUMEN EN LOTES</t>
        </is>
      </c>
      <c r="E10" s="15" t="inlineStr">
        <is>
          <t>MARGEN REQUERIDO</t>
        </is>
      </c>
      <c r="F10" s="15" t="inlineStr">
        <is>
          <t>APALANCAMIENTO (VECES)</t>
        </is>
      </c>
      <c r="G10" s="15" t="inlineStr">
        <is>
          <t>PRECIO DE ENTRADA</t>
        </is>
      </c>
      <c r="H10" s="15" t="inlineStr">
        <is>
          <t>PRECIO DE SALIDA</t>
        </is>
      </c>
      <c r="I10" s="15" t="inlineStr">
        <is>
          <t>DÍAS ABIERTA</t>
        </is>
      </c>
      <c r="J10" s="15" t="inlineStr">
        <is>
          <t>RESULTADO BRUTO</t>
        </is>
      </c>
      <c r="K10" s="16" t="inlineStr">
        <is>
          <t>COSTO DE APERTURA (SPREAD)</t>
        </is>
      </c>
      <c r="L10" s="16" t="inlineStr">
        <is>
          <t>COSTO DE MANTENCIÓN (SWAP)</t>
        </is>
      </c>
      <c r="M10" s="16" t="inlineStr">
        <is>
          <t>RESULTADO NETO</t>
        </is>
      </c>
      <c r="N10" s="15" t="inlineStr">
        <is>
          <t>OBSERVACIÓN</t>
        </is>
      </c>
      <c r="Q10" t="inlineStr">
        <is>
          <t>swap_venta</t>
        </is>
      </c>
      <c r="R10">
        <f>IFERROR(VLOOKUP($F$4,Datos!$A:$N,11,FALSE),0)</f>
        <v/>
      </c>
    </row>
    <row r="11" ht="24" customHeight="1">
      <c r="C11" s="4" t="inlineStr">
        <is>
          <t>COMPRA</t>
        </is>
      </c>
      <c r="D11" s="17" t="n">
        <v>0.54</v>
      </c>
      <c r="E11" s="9">
        <f>IF($D11=0,"",$D11*$G11*$R$4*$R$5)</f>
        <v/>
      </c>
      <c r="F11" s="18">
        <f>IF(OR($D11=0,$F$5=0),"",$D11*$G11*$R$4/$F$5)</f>
        <v/>
      </c>
      <c r="G11" s="19" t="n">
        <v>924.7</v>
      </c>
      <c r="H11" s="19" t="n">
        <v>929.7</v>
      </c>
      <c r="I11" s="20" t="n">
        <v>2</v>
      </c>
      <c r="J11" s="9">
        <f>IF(OR($D11=0,$H11=0),"",IF($C11="COMPRA",$H11-$G11,$G11-$H11)*$D11*$R$4)</f>
        <v/>
      </c>
      <c r="K11" s="9">
        <f>IF($D11=0,"",$D11*$R$6*$R$4)</f>
        <v/>
      </c>
      <c r="L11" s="9">
        <f>IF(OR($D11=0,$I11=0),"",-IF($C11="VENTA",$R$10,$R$9)*IF($R$8=1,$D11*POWER(10,-$R$2)*$R$4,$D11*$G11*$R$4/100/360)*$I11)</f>
        <v/>
      </c>
      <c r="M11" s="9">
        <f>IF($D11=0,"",N($J11)-N($K11)-N($L11))</f>
        <v/>
      </c>
      <c r="N11" s="21">
        <f>IF(OR($D11=0,$H11=0),"",IF(AND($C11="COMPRA",$H11&lt;$G11),"precio de salida inferior a la entrada: resultado negativo en una compra",IF(AND($C11="VENTA",$H11&gt;$G11),"precio de salida superior a la entrada: resultado negativo en una venta","")))</f>
        <v/>
      </c>
      <c r="Q11" t="inlineStr">
        <is>
          <t>llamada_margen</t>
        </is>
      </c>
      <c r="R11" t="n">
        <v>200</v>
      </c>
    </row>
    <row r="12" ht="24" customHeight="1">
      <c r="C12" s="4" t="inlineStr">
        <is>
          <t>VENTA</t>
        </is>
      </c>
      <c r="D12" s="17" t="n">
        <v>0.43</v>
      </c>
      <c r="E12" s="9">
        <f>IF($D12=0,"",$D12*$G12*$R$4*$R$5)</f>
        <v/>
      </c>
      <c r="F12" s="18">
        <f>IF(OR($D12=0,$F$5=0),"",$D12*$G12*$R$4/$F$5)</f>
        <v/>
      </c>
      <c r="G12" s="19" t="n">
        <v>931.7</v>
      </c>
      <c r="H12" s="19" t="n">
        <v>928.7</v>
      </c>
      <c r="I12" s="20" t="n">
        <v>1</v>
      </c>
      <c r="J12" s="9">
        <f>IF(OR($D12=0,$H12=0),"",IF($C12="COMPRA",$H12-$G12,$G12-$H12)*$D12*$R$4)</f>
        <v/>
      </c>
      <c r="K12" s="9">
        <f>IF($D12=0,"",$D12*$R$6*$R$4)</f>
        <v/>
      </c>
      <c r="L12" s="9">
        <f>IF(OR($D12=0,$I12=0),"",-IF($C12="VENTA",$R$10,$R$9)*IF($R$8=1,$D12*POWER(10,-$R$2)*$R$4,$D12*$G12*$R$4/100/360)*$I12)</f>
        <v/>
      </c>
      <c r="M12" s="9">
        <f>IF($D12=0,"",N($J12)-N($K12)-N($L12))</f>
        <v/>
      </c>
      <c r="N12" s="21">
        <f>IF(OR($D12=0,$H12=0),"",IF(AND($C12="COMPRA",$H12&lt;$G12),"precio de salida inferior a la entrada: resultado negativo en una compra",IF(AND($C12="VENTA",$H12&gt;$G12),"precio de salida superior a la entrada: resultado negativo en una venta","")))</f>
        <v/>
      </c>
      <c r="Q12" t="inlineStr">
        <is>
          <t>cierre_forzado</t>
        </is>
      </c>
      <c r="R12" t="n">
        <v>50</v>
      </c>
    </row>
    <row r="13" ht="24" customHeight="1">
      <c r="C13" s="4" t="inlineStr">
        <is>
          <t>COMPRA</t>
        </is>
      </c>
      <c r="D13" s="17" t="n">
        <v>0.32</v>
      </c>
      <c r="E13" s="9">
        <f>IF($D13=0,"",$D13*$G13*$R$4*$R$5)</f>
        <v/>
      </c>
      <c r="F13" s="18">
        <f>IF(OR($D13=0,$F$5=0),"",$D13*$G13*$R$4/$F$5)</f>
        <v/>
      </c>
      <c r="G13" s="19" t="n">
        <v>927.7</v>
      </c>
      <c r="H13" s="19" t="n">
        <v>926.2</v>
      </c>
      <c r="I13" s="20" t="n">
        <v>0</v>
      </c>
      <c r="J13" s="9">
        <f>IF(OR($D13=0,$H13=0),"",IF($C13="COMPRA",$H13-$G13,$G13-$H13)*$D13*$R$4)</f>
        <v/>
      </c>
      <c r="K13" s="9">
        <f>IF($D13=0,"",$D13*$R$6*$R$4)</f>
        <v/>
      </c>
      <c r="L13" s="9">
        <f>IF(OR($D13=0,$I13=0),"",-IF($C13="VENTA",$R$10,$R$9)*IF($R$8=1,$D13*POWER(10,-$R$2)*$R$4,$D13*$G13*$R$4/100/360)*$I13)</f>
        <v/>
      </c>
      <c r="M13" s="9">
        <f>IF($D13=0,"",N($J13)-N($K13)-N($L13))</f>
        <v/>
      </c>
      <c r="N13" s="21">
        <f>IF(OR($D13=0,$H13=0),"",IF(AND($C13="COMPRA",$H13&lt;$G13),"precio de salida inferior a la entrada: resultado negativo en una compra",IF(AND($C13="VENTA",$H13&gt;$G13),"precio de salida superior a la entrada: resultado negativo en una venta","")))</f>
        <v/>
      </c>
      <c r="Q13" t="inlineStr">
        <is>
          <t>vol_min</t>
        </is>
      </c>
      <c r="R13">
        <f>IFERROR(VLOOKUP($F$4,Datos!$A:$N,12,FALSE),0)</f>
        <v/>
      </c>
    </row>
    <row r="14" ht="24" customHeight="1">
      <c r="C14" s="4" t="n"/>
      <c r="D14" s="17" t="n"/>
      <c r="E14" s="9">
        <f>IF($D14=0,"",$D14*$G14*$R$4*$R$5)</f>
        <v/>
      </c>
      <c r="F14" s="18">
        <f>IF(OR($D14=0,$F$5=0),"",$D14*$G14*$R$4/$F$5)</f>
        <v/>
      </c>
      <c r="G14" s="19" t="n"/>
      <c r="H14" s="19" t="n"/>
      <c r="I14" s="20" t="n"/>
      <c r="J14" s="9">
        <f>IF(OR($D14=0,$H14=0),"",IF($C14="COMPRA",$H14-$G14,$G14-$H14)*$D14*$R$4)</f>
        <v/>
      </c>
      <c r="K14" s="9">
        <f>IF($D14=0,"",$D14*$R$6*$R$4)</f>
        <v/>
      </c>
      <c r="L14" s="9">
        <f>IF(OR($D14=0,$I14=0),"",-IF($C14="VENTA",$R$10,$R$9)*IF($R$8=1,$D14*POWER(10,-$R$2)*$R$4,$D14*$G14*$R$4/100/360)*$I14)</f>
        <v/>
      </c>
      <c r="M14" s="9">
        <f>IF($D14=0,"",N($J14)-N($K14)-N($L14))</f>
        <v/>
      </c>
      <c r="N14" s="21">
        <f>IF(OR($D14=0,$H14=0),"",IF(AND($C14="COMPRA",$H14&lt;$G14),"precio de salida inferior a la entrada: resultado negativo en una compra",IF(AND($C14="VENTA",$H14&gt;$G14),"precio de salida superior a la entrada: resultado negativo en una venta","")))</f>
        <v/>
      </c>
      <c r="Q14" t="inlineStr">
        <is>
          <t>vol_paso</t>
        </is>
      </c>
      <c r="R14">
        <f>IFERROR(VLOOKUP($F$4,Datos!$A:$N,13,FALSE),0)</f>
        <v/>
      </c>
    </row>
    <row r="15" ht="24" customHeight="1">
      <c r="C15" s="4" t="n"/>
      <c r="D15" s="17" t="n"/>
      <c r="E15" s="9">
        <f>IF($D15=0,"",$D15*$G15*$R$4*$R$5)</f>
        <v/>
      </c>
      <c r="F15" s="18">
        <f>IF(OR($D15=0,$F$5=0),"",$D15*$G15*$R$4/$F$5)</f>
        <v/>
      </c>
      <c r="G15" s="19" t="n"/>
      <c r="H15" s="19" t="n"/>
      <c r="I15" s="20" t="n"/>
      <c r="J15" s="9">
        <f>IF(OR($D15=0,$H15=0),"",IF($C15="COMPRA",$H15-$G15,$G15-$H15)*$D15*$R$4)</f>
        <v/>
      </c>
      <c r="K15" s="9">
        <f>IF($D15=0,"",$D15*$R$6*$R$4)</f>
        <v/>
      </c>
      <c r="L15" s="9">
        <f>IF(OR($D15=0,$I15=0),"",-IF($C15="VENTA",$R$10,$R$9)*IF($R$8=1,$D15*POWER(10,-$R$2)*$R$4,$D15*$G15*$R$4/100/360)*$I15)</f>
        <v/>
      </c>
      <c r="M15" s="9">
        <f>IF($D15=0,"",N($J15)-N($K15)-N($L15))</f>
        <v/>
      </c>
      <c r="N15" s="21">
        <f>IF(OR($D15=0,$H15=0),"",IF(AND($C15="COMPRA",$H15&lt;$G15),"precio de salida inferior a la entrada: resultado negativo en una compra",IF(AND($C15="VENTA",$H15&gt;$G15),"precio de salida superior a la entrada: resultado negativo en una venta","")))</f>
        <v/>
      </c>
    </row>
    <row r="16" ht="24" customHeight="1">
      <c r="C16" s="4" t="n"/>
      <c r="D16" s="17" t="n"/>
      <c r="E16" s="9">
        <f>IF($D16=0,"",$D16*$G16*$R$4*$R$5)</f>
        <v/>
      </c>
      <c r="F16" s="18">
        <f>IF(OR($D16=0,$F$5=0),"",$D16*$G16*$R$4/$F$5)</f>
        <v/>
      </c>
      <c r="G16" s="19" t="n"/>
      <c r="H16" s="19" t="n"/>
      <c r="I16" s="20" t="n"/>
      <c r="J16" s="9">
        <f>IF(OR($D16=0,$H16=0),"",IF($C16="COMPRA",$H16-$G16,$G16-$H16)*$D16*$R$4)</f>
        <v/>
      </c>
      <c r="K16" s="9">
        <f>IF($D16=0,"",$D16*$R$6*$R$4)</f>
        <v/>
      </c>
      <c r="L16" s="9">
        <f>IF(OR($D16=0,$I16=0),"",-IF($C16="VENTA",$R$10,$R$9)*IF($R$8=1,$D16*POWER(10,-$R$2)*$R$4,$D16*$G16*$R$4/100/360)*$I16)</f>
        <v/>
      </c>
      <c r="M16" s="9">
        <f>IF($D16=0,"",N($J16)-N($K16)-N($L16))</f>
        <v/>
      </c>
      <c r="N16" s="21">
        <f>IF(OR($D16=0,$H16=0),"",IF(AND($C16="COMPRA",$H16&lt;$G16),"precio de salida inferior a la entrada: resultado negativo en una compra",IF(AND($C16="VENTA",$H16&gt;$G16),"precio de salida superior a la entrada: resultado negativo en una venta","")))</f>
        <v/>
      </c>
    </row>
    <row r="17" ht="24" customHeight="1">
      <c r="C17" s="22" t="inlineStr">
        <is>
          <t>TOTALES</t>
        </is>
      </c>
      <c r="D17" s="23">
        <f>SUM(D11:D16)</f>
        <v/>
      </c>
      <c r="E17" s="24">
        <f>SUM(E11:E16)</f>
        <v/>
      </c>
      <c r="F17" s="25">
        <f>SUM(F11:F16)</f>
        <v/>
      </c>
      <c r="G17" s="22" t="n"/>
      <c r="H17" s="22" t="n"/>
      <c r="I17" s="22" t="n"/>
      <c r="J17" s="24">
        <f>SUM(J11:J16)</f>
        <v/>
      </c>
      <c r="K17" s="26">
        <f>SUM(K11:K16)</f>
        <v/>
      </c>
      <c r="L17" s="26">
        <f>SUM(L11:L16)</f>
        <v/>
      </c>
      <c r="M17" s="26">
        <f>SUM(M11:M16)</f>
        <v/>
      </c>
      <c r="N17" s="22" t="n"/>
    </row>
    <row r="19" ht="22" customHeight="1">
      <c r="J19" s="27" t="inlineStr">
        <is>
          <t>Monto total controlado</t>
        </is>
      </c>
      <c r="M19" s="9">
        <f>SUMPRODUCT($D$11:$D$16,$G$11:$G$16)*$R$4</f>
        <v/>
      </c>
    </row>
    <row r="20" ht="22" customHeight="1">
      <c r="J20" s="27" t="inlineStr">
        <is>
          <t>Apalancamiento total</t>
        </is>
      </c>
      <c r="M20" s="28">
        <f>$F$17</f>
        <v/>
      </c>
    </row>
    <row r="21" ht="22" customHeight="1">
      <c r="J21" s="27" t="inlineStr">
        <is>
          <t>Margen requerido (posiciones simultáneas)</t>
        </is>
      </c>
      <c r="M21" s="9">
        <f>$M$19*$R$5</f>
        <v/>
      </c>
    </row>
    <row r="22" ht="22" customHeight="1">
      <c r="J22" s="27" t="inlineStr">
        <is>
          <t>Nivel de margen al abrir</t>
        </is>
      </c>
      <c r="M22" s="29">
        <f>IF($M$21=0,"",100*$F$5/$M$21)</f>
        <v/>
      </c>
    </row>
    <row r="23" ht="22" customHeight="1">
      <c r="J23" s="27" t="inlineStr">
        <is>
          <t>Recorrido adverso hasta el cierre forzado</t>
        </is>
      </c>
      <c r="M23" s="7">
        <f>IF(OR($M$21=0,SUMPRODUCT((($C$11:$C$16="COMPRA")*2-1)*$D$11:$D$16)=0),"",MAX(0,ROUND(($F$5-$R$12/100*$M$21)/ABS(SUMPRODUCT((($C$11:$C$16="COMPRA")*2-1)*$D$11:$D$16)*$R$4),$R$2)))</f>
        <v/>
      </c>
    </row>
    <row r="24" ht="22" customHeight="1">
      <c r="J24" s="27" t="inlineStr">
        <is>
          <t>Resultado neto del periodo</t>
        </is>
      </c>
      <c r="M24" s="9">
        <f>$M$17</f>
        <v/>
      </c>
    </row>
    <row r="25" ht="22" customHeight="1">
      <c r="J25" s="30" t="inlineStr">
        <is>
          <t>Patrimonio final</t>
        </is>
      </c>
      <c r="M25" s="31">
        <f>$F$5+$M$17</f>
        <v/>
      </c>
    </row>
    <row r="27" ht="42" customHeight="1">
      <c r="C27" s="32" t="inlineStr">
        <is>
          <t>Especificaciones de la cuenta real del broker al 2026-09-09 15:08 hora Chile. Celdas crema: campos editables; el resto son fórmulas. El volumen en lotes se escribe en múltiplos del paso que acepta MT5 en ese instrumento, indicado arriba a la derecha. APALANCAMIENTO son las veces que el capital de la cuenta queda controlado por esa operación, y la columna es aditiva: su total es el apalancamiento del periodo. El COSTO DE MANTENCIÓN (SWAP) se estima por días calendario. El broker avisa cuando el nivel de margen baja de 200% y cierra posiciones por su cuenta en 50%, que es el umbral contra el que se mide el recorrido. Este simulador no incorpora stop loss.</t>
        </is>
      </c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20">
    <mergeCell ref="F4:G4"/>
    <mergeCell ref="J6:L6"/>
    <mergeCell ref="J24:L24"/>
    <mergeCell ref="J4:L4"/>
    <mergeCell ref="J20:L20"/>
    <mergeCell ref="J25:L25"/>
    <mergeCell ref="J22:L22"/>
    <mergeCell ref="C27:N27"/>
    <mergeCell ref="F5:G5"/>
    <mergeCell ref="C1:M1"/>
    <mergeCell ref="J21:L21"/>
    <mergeCell ref="C7:N7"/>
    <mergeCell ref="C9:J9"/>
    <mergeCell ref="J23:L23"/>
    <mergeCell ref="C2:M2"/>
    <mergeCell ref="J5:L5"/>
    <mergeCell ref="C5:E5"/>
    <mergeCell ref="K9:M9"/>
    <mergeCell ref="J19:L19"/>
    <mergeCell ref="C4:E4"/>
  </mergeCells>
  <conditionalFormatting sqref="J11:M17">
    <cfRule type="expression" priority="1" dxfId="0">
      <formula>AND(J11&lt;&gt;"",J11&lt;0)</formula>
    </cfRule>
  </conditionalFormatting>
  <conditionalFormatting sqref="N11:N16">
    <cfRule type="expression" priority="2" dxfId="0">
      <formula>$N11&lt;&gt;""</formula>
    </cfRule>
  </conditionalFormatting>
  <conditionalFormatting sqref="M25">
    <cfRule type="expression" priority="3" dxfId="0">
      <formula>$M$25&lt;$F$5</formula>
    </cfRule>
  </conditionalFormatting>
  <conditionalFormatting sqref="M22">
    <cfRule type="expression" priority="4" dxfId="0">
      <formula>$M$22&lt;$R$11</formula>
    </cfRule>
  </conditionalFormatting>
  <conditionalFormatting sqref="M23">
    <cfRule type="expression" priority="5" dxfId="0">
      <formula>$M$23&lt;=0</formula>
    </cfRule>
  </conditionalFormatting>
  <dataValidations count="6">
    <dataValidation sqref="F4" showDropDown="0" showInputMessage="0" showErrorMessage="1" allowBlank="0" errorTitle="Instrumento no válido" error="Seleccione un instrumento de la lista." type="list">
      <formula1>Datos!$A$2:$A$149</formula1>
    </dataValidation>
    <dataValidation sqref="C11 C12 C13 C14 C15 C16" showDropDown="0" showInputMessage="0" showErrorMessage="1" allowBlank="1" errorTitle="Dirección no válida" error="Seleccione COMPRA o VENTA." type="list">
      <formula1>"COMPRA,VENTA"</formula1>
    </dataValidation>
    <dataValidation sqref="D11 D12 D13 D14 D15 D16" showDropDown="0" showInputMessage="0" showErrorMessage="1" allowBlank="1" errorTitle="Volumen no válido" error="El volumen no alcanza el mínimo que MT5 acepta en este instrumento, que se indica arriba a la derecha. Use la coma como separador decimal: 0,54 y no 0.54." type="decimal" operator="greaterThanOrEqual">
      <formula1>$R$13</formula1>
    </dataValidation>
    <dataValidation sqref="G11 G12 G13 G14 G15 G16 H11 H12 H13 H14 H15 H16" showDropDown="0" showInputMessage="0" showErrorMessage="1" allowBlank="1" errorTitle="Precio no válido" error="Escriba un precio numérico, con la coma como separador decimal: 918,75 y no 918.75." type="decimal" operator="greaterThan">
      <formula1>0</formula1>
    </dataValidation>
    <dataValidation sqref="I11 I12 I13 I14 I15 I16" showDropDown="0" showInputMessage="0" showErrorMessage="1" allowBlank="1" errorTitle="Días no válidos" error="Indique los días completos que la posición queda abierta (0 si se abre y cierra en la misma jornada)." type="whole" operator="between">
      <formula1>0</formula1>
      <formula2>3650</formula2>
    </dataValidation>
    <dataValidation sqref="F5" showDropDown="0" showInputMessage="0" showErrorMessage="1" allowBlank="0" errorTitle="Capital no válido" error="Escriba el capital de la cuenta en pesos, sin separador decimal." type="decimal" operator="greaterThan">
      <formula1>0</formula1>
    </dataValidation>
  </dataValidation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17" customWidth="1" min="4" max="4"/>
    <col width="21" customWidth="1" min="5" max="5"/>
    <col width="10" customWidth="1" min="6" max="6"/>
    <col width="11" customWidth="1" min="7" max="7"/>
    <col width="13" customWidth="1" min="8" max="8"/>
    <col width="11" customWidth="1" min="9" max="9"/>
    <col width="13" customWidth="1" min="10" max="10"/>
    <col width="13" customWidth="1" min="11" max="11"/>
    <col width="14" customWidth="1" min="12" max="12"/>
    <col width="14" customWidth="1" min="13" max="13"/>
    <col width="17" customWidth="1" min="14" max="14"/>
  </cols>
  <sheetData>
    <row r="1">
      <c r="A1" s="33" t="inlineStr">
        <is>
          <t>INSTRUMENTO</t>
        </is>
      </c>
      <c r="B1" s="33" t="inlineStr">
        <is>
          <t>TICKER MT5</t>
        </is>
      </c>
      <c r="C1" s="33" t="inlineStr">
        <is>
          <t>DECIMALES</t>
        </is>
      </c>
      <c r="D1" s="33" t="inlineStr">
        <is>
          <t>TAMAÑO DE CONTRATO (1 lote)</t>
        </is>
      </c>
      <c r="E1" s="33" t="inlineStr">
        <is>
          <t>VALOR EN CLP DE 1,0 DE PRECIO (POR LOTE)</t>
        </is>
      </c>
      <c r="F1" s="33" t="inlineStr">
        <is>
          <t>MARGEN</t>
        </is>
      </c>
      <c r="G1" s="33" t="inlineStr">
        <is>
          <t>SPREAD</t>
        </is>
      </c>
      <c r="H1" s="33" t="inlineStr">
        <is>
          <t>PRECIO DE REFERENCIA</t>
        </is>
      </c>
      <c r="I1" s="33" t="inlineStr">
        <is>
          <t>MODO SWAP</t>
        </is>
      </c>
      <c r="J1" s="33" t="inlineStr">
        <is>
          <t>SWAP COMPRA</t>
        </is>
      </c>
      <c r="K1" s="33" t="inlineStr">
        <is>
          <t>SWAP VENTA</t>
        </is>
      </c>
      <c r="L1" s="33" t="inlineStr">
        <is>
          <t>VOLUMEN MÍNIMO</t>
        </is>
      </c>
      <c r="M1" s="33" t="inlineStr">
        <is>
          <t>PASO DE VOLUMEN</t>
        </is>
      </c>
      <c r="N1" s="33" t="inlineStr">
        <is>
          <t>GRUPO</t>
        </is>
      </c>
    </row>
    <row r="2">
      <c r="A2" t="inlineStr">
        <is>
          <t>Australian Dollar vs Canadian Dollar</t>
        </is>
      </c>
      <c r="B2" t="inlineStr">
        <is>
          <t>AUDCAD</t>
        </is>
      </c>
      <c r="C2" t="n">
        <v>5</v>
      </c>
      <c r="D2" t="n">
        <v>100000</v>
      </c>
      <c r="E2" t="n">
        <v>67222202.09</v>
      </c>
      <c r="F2" s="34" t="n">
        <v>0.009998999999999999</v>
      </c>
      <c r="G2" s="35" t="n">
        <v>0.0004</v>
      </c>
      <c r="H2" s="35" t="n">
        <v>0.99701</v>
      </c>
      <c r="I2" t="n">
        <v>1</v>
      </c>
      <c r="J2" t="n">
        <v>-2.31</v>
      </c>
      <c r="K2" t="n">
        <v>-9.138999999999999</v>
      </c>
      <c r="L2" t="n">
        <v>0.01</v>
      </c>
      <c r="M2" t="n">
        <v>0.01</v>
      </c>
      <c r="N2" t="inlineStr">
        <is>
          <t>FX</t>
        </is>
      </c>
    </row>
    <row r="3">
      <c r="A3" t="inlineStr">
        <is>
          <t>Australian Dollar vs Japanese Yen</t>
        </is>
      </c>
      <c r="B3" t="inlineStr">
        <is>
          <t>AUDJPY</t>
        </is>
      </c>
      <c r="C3" t="n">
        <v>3</v>
      </c>
      <c r="D3" t="n">
        <v>100000</v>
      </c>
      <c r="E3" t="n">
        <v>604431.76</v>
      </c>
      <c r="F3" s="34" t="n">
        <v>0.009998</v>
      </c>
      <c r="G3" s="35" t="n">
        <v>0.07000000000000001</v>
      </c>
      <c r="H3" s="35" t="n">
        <v>110.898</v>
      </c>
      <c r="I3" t="n">
        <v>1</v>
      </c>
      <c r="J3" t="n">
        <v>-2.014</v>
      </c>
      <c r="K3" t="n">
        <v>-14.365</v>
      </c>
      <c r="L3" t="n">
        <v>0.01</v>
      </c>
      <c r="M3" t="n">
        <v>0.01</v>
      </c>
      <c r="N3" t="inlineStr">
        <is>
          <t>FX</t>
        </is>
      </c>
    </row>
    <row r="4">
      <c r="A4" t="inlineStr">
        <is>
          <t>Australian Dollar vs New Zealand Dollar</t>
        </is>
      </c>
      <c r="B4" t="inlineStr">
        <is>
          <t>AUDNZD</t>
        </is>
      </c>
      <c r="C4" t="n">
        <v>5</v>
      </c>
      <c r="D4" t="n">
        <v>100000</v>
      </c>
      <c r="E4" t="n">
        <v>54227775.8</v>
      </c>
      <c r="F4" s="34" t="n">
        <v>0.009996</v>
      </c>
      <c r="G4" s="35" t="n">
        <v>0.0006000000000000001</v>
      </c>
      <c r="H4" s="35" t="n">
        <v>1.23638</v>
      </c>
      <c r="I4" t="n">
        <v>1</v>
      </c>
      <c r="J4" t="n">
        <v>-3.164</v>
      </c>
      <c r="K4" t="n">
        <v>-10.686</v>
      </c>
      <c r="L4" t="n">
        <v>0.01</v>
      </c>
      <c r="M4" t="n">
        <v>0.01</v>
      </c>
      <c r="N4" t="inlineStr">
        <is>
          <t>FX</t>
        </is>
      </c>
    </row>
    <row r="5">
      <c r="A5" t="inlineStr">
        <is>
          <t>Australian Dollar vs Swiss Franc</t>
        </is>
      </c>
      <c r="B5" t="inlineStr">
        <is>
          <t>AUDCHF</t>
        </is>
      </c>
      <c r="C5" t="n">
        <v>5</v>
      </c>
      <c r="D5" t="n">
        <v>100000</v>
      </c>
      <c r="E5" t="n">
        <v>114625678.03</v>
      </c>
      <c r="F5" s="34" t="n">
        <v>0.009991</v>
      </c>
      <c r="G5" s="35" t="n">
        <v>0.0009000000000000001</v>
      </c>
      <c r="H5" s="35" t="n">
        <v>0.5851499999999999</v>
      </c>
      <c r="I5" t="n">
        <v>1</v>
      </c>
      <c r="J5" t="n">
        <v>-0.253</v>
      </c>
      <c r="K5" t="n">
        <v>-11.128</v>
      </c>
      <c r="L5" t="n">
        <v>0.01</v>
      </c>
      <c r="M5" t="n">
        <v>0.01</v>
      </c>
      <c r="N5" t="inlineStr">
        <is>
          <t>FX</t>
        </is>
      </c>
    </row>
    <row r="6">
      <c r="A6" t="inlineStr">
        <is>
          <t>Australian Dollar vs US Dollar</t>
        </is>
      </c>
      <c r="B6" t="inlineStr">
        <is>
          <t>AUDUSD</t>
        </is>
      </c>
      <c r="C6" t="n">
        <v>5</v>
      </c>
      <c r="D6" t="n">
        <v>100000</v>
      </c>
      <c r="E6" t="n">
        <v>92770000</v>
      </c>
      <c r="F6" s="34" t="n">
        <v>0.01</v>
      </c>
      <c r="G6" s="35" t="n">
        <v>0.00032</v>
      </c>
      <c r="H6" s="35" t="n">
        <v>0.72239</v>
      </c>
      <c r="I6" t="n">
        <v>1</v>
      </c>
      <c r="J6" t="n">
        <v>-2.206</v>
      </c>
      <c r="K6" t="n">
        <v>-1.285</v>
      </c>
      <c r="L6" t="n">
        <v>0.01</v>
      </c>
      <c r="M6" t="n">
        <v>0.01</v>
      </c>
      <c r="N6" t="inlineStr">
        <is>
          <t>FX</t>
        </is>
      </c>
    </row>
    <row r="7">
      <c r="A7" t="inlineStr">
        <is>
          <t>British Pounds  vs. New Zealand Dollar</t>
        </is>
      </c>
      <c r="B7" t="inlineStr">
        <is>
          <t>GBPNZD</t>
        </is>
      </c>
      <c r="C7" t="n">
        <v>5</v>
      </c>
      <c r="D7" t="n">
        <v>100000</v>
      </c>
      <c r="E7" t="n">
        <v>54227775.8</v>
      </c>
      <c r="F7" s="34" t="n">
        <v>0.019982</v>
      </c>
      <c r="G7" s="35" t="n">
        <v>0.003</v>
      </c>
      <c r="H7" s="35" t="n">
        <v>2.32201</v>
      </c>
      <c r="I7" t="n">
        <v>1</v>
      </c>
      <c r="J7" t="n">
        <v>-5.185</v>
      </c>
      <c r="K7" t="n">
        <v>-22.75</v>
      </c>
      <c r="L7" t="n">
        <v>0.01</v>
      </c>
      <c r="M7" t="n">
        <v>0.01</v>
      </c>
      <c r="N7" t="inlineStr">
        <is>
          <t>FX</t>
        </is>
      </c>
    </row>
    <row r="8">
      <c r="A8" t="inlineStr">
        <is>
          <t>British Pounds vs Australian Dollar</t>
        </is>
      </c>
      <c r="B8" t="inlineStr">
        <is>
          <t>GBPAUD</t>
        </is>
      </c>
      <c r="C8" t="n">
        <v>5</v>
      </c>
      <c r="D8" t="n">
        <v>100000</v>
      </c>
      <c r="E8" t="n">
        <v>67016120.3</v>
      </c>
      <c r="F8" s="34" t="n">
        <v>0.009997000000000001</v>
      </c>
      <c r="G8" s="35" t="n">
        <v>0.0009000000000000001</v>
      </c>
      <c r="H8" s="35" t="n">
        <v>1.87777</v>
      </c>
      <c r="I8" t="n">
        <v>1</v>
      </c>
      <c r="J8" t="n">
        <v>-9.022</v>
      </c>
      <c r="K8" t="n">
        <v>-7.371</v>
      </c>
      <c r="L8" t="n">
        <v>0.01</v>
      </c>
      <c r="M8" t="n">
        <v>0.01</v>
      </c>
      <c r="N8" t="inlineStr">
        <is>
          <t>FX</t>
        </is>
      </c>
    </row>
    <row r="9">
      <c r="A9" t="inlineStr">
        <is>
          <t>British Pounds vs Canadian Dollar</t>
        </is>
      </c>
      <c r="B9" t="inlineStr">
        <is>
          <t>GBPCAD</t>
        </is>
      </c>
      <c r="C9" t="n">
        <v>5</v>
      </c>
      <c r="D9" t="n">
        <v>100000</v>
      </c>
      <c r="E9" t="n">
        <v>67222202.09</v>
      </c>
      <c r="F9" s="34" t="n">
        <v>0.009998</v>
      </c>
      <c r="G9" s="35" t="n">
        <v>0.0009000000000000001</v>
      </c>
      <c r="H9" s="35" t="n">
        <v>1.87178</v>
      </c>
      <c r="I9" t="n">
        <v>1</v>
      </c>
      <c r="J9" t="n">
        <v>-3.7</v>
      </c>
      <c r="K9" t="n">
        <v>-19.11</v>
      </c>
      <c r="L9" t="n">
        <v>0.01</v>
      </c>
      <c r="M9" t="n">
        <v>0.01</v>
      </c>
      <c r="N9" t="inlineStr">
        <is>
          <t>FX</t>
        </is>
      </c>
    </row>
    <row r="10">
      <c r="A10" t="inlineStr">
        <is>
          <t>British Pounds vs Japanese Yen</t>
        </is>
      </c>
      <c r="B10" t="inlineStr">
        <is>
          <t>GBPJPY</t>
        </is>
      </c>
      <c r="C10" t="n">
        <v>3</v>
      </c>
      <c r="D10" t="n">
        <v>100000</v>
      </c>
      <c r="E10" t="n">
        <v>604431.76</v>
      </c>
      <c r="F10" s="34" t="n">
        <v>0.009998999999999999</v>
      </c>
      <c r="G10" s="35" t="n">
        <v>0.08</v>
      </c>
      <c r="H10" s="35" t="n">
        <v>208.164</v>
      </c>
      <c r="I10" t="n">
        <v>1</v>
      </c>
      <c r="J10" t="n">
        <v>-3.222</v>
      </c>
      <c r="K10" t="n">
        <v>-28.652</v>
      </c>
      <c r="L10" t="n">
        <v>0.01</v>
      </c>
      <c r="M10" t="n">
        <v>0.01</v>
      </c>
      <c r="N10" t="inlineStr">
        <is>
          <t>FX</t>
        </is>
      </c>
    </row>
    <row r="11">
      <c r="A11" t="inlineStr">
        <is>
          <t>British Pounds vs Swiss Franc</t>
        </is>
      </c>
      <c r="B11" t="inlineStr">
        <is>
          <t>GBPCHF</t>
        </is>
      </c>
      <c r="C11" t="n">
        <v>5</v>
      </c>
      <c r="D11" t="n">
        <v>100000</v>
      </c>
      <c r="E11" t="n">
        <v>114625678.03</v>
      </c>
      <c r="F11" s="34" t="n">
        <v>0.009995</v>
      </c>
      <c r="G11" s="35" t="n">
        <v>0.0008</v>
      </c>
      <c r="H11" s="35" t="n">
        <v>1.09806</v>
      </c>
      <c r="I11" t="n">
        <v>1</v>
      </c>
      <c r="J11" t="n">
        <v>-0.08699999999999999</v>
      </c>
      <c r="K11" t="n">
        <v>-24.531</v>
      </c>
      <c r="L11" t="n">
        <v>0.01</v>
      </c>
      <c r="M11" t="n">
        <v>0.01</v>
      </c>
      <c r="N11" t="inlineStr">
        <is>
          <t>FX</t>
        </is>
      </c>
    </row>
    <row r="12">
      <c r="A12" t="inlineStr">
        <is>
          <t>Canadian Dollar vs Japanese Yen</t>
        </is>
      </c>
      <c r="B12" t="inlineStr">
        <is>
          <t>CADJPY</t>
        </is>
      </c>
      <c r="C12" t="n">
        <v>3</v>
      </c>
      <c r="D12" t="n">
        <v>100000</v>
      </c>
      <c r="E12" t="n">
        <v>604431.76</v>
      </c>
      <c r="F12" s="34" t="n">
        <v>0.009998</v>
      </c>
      <c r="G12" s="35" t="n">
        <v>0.05</v>
      </c>
      <c r="H12" s="35" t="n">
        <v>111.243</v>
      </c>
      <c r="I12" t="n">
        <v>1</v>
      </c>
      <c r="J12" t="n">
        <v>-1.201</v>
      </c>
      <c r="K12" t="n">
        <v>-8.281000000000001</v>
      </c>
      <c r="L12" t="n">
        <v>0.01</v>
      </c>
      <c r="M12" t="n">
        <v>0.01</v>
      </c>
      <c r="N12" t="inlineStr">
        <is>
          <t>FX</t>
        </is>
      </c>
    </row>
    <row r="13">
      <c r="A13" t="inlineStr">
        <is>
          <t>Canadian Dollar vs Swiss Franc</t>
        </is>
      </c>
      <c r="B13" t="inlineStr">
        <is>
          <t>CADCHF</t>
        </is>
      </c>
      <c r="C13" t="n">
        <v>5</v>
      </c>
      <c r="D13" t="n">
        <v>100000</v>
      </c>
      <c r="E13" t="n">
        <v>114625678.03</v>
      </c>
      <c r="F13" s="34" t="n">
        <v>0.009991</v>
      </c>
      <c r="G13" s="35" t="n">
        <v>0.00075</v>
      </c>
      <c r="H13" s="35" t="n">
        <v>0.58695</v>
      </c>
      <c r="I13" t="n">
        <v>1</v>
      </c>
      <c r="J13" t="n">
        <v>0.507</v>
      </c>
      <c r="K13" t="n">
        <v>-7.852</v>
      </c>
      <c r="L13" t="n">
        <v>0.01</v>
      </c>
      <c r="M13" t="n">
        <v>0.01</v>
      </c>
      <c r="N13" t="inlineStr">
        <is>
          <t>FX</t>
        </is>
      </c>
    </row>
    <row r="14">
      <c r="A14" t="inlineStr">
        <is>
          <t>Dólar / Peso Chileno</t>
        </is>
      </c>
      <c r="B14" t="inlineStr">
        <is>
          <t>USDCLP</t>
        </is>
      </c>
      <c r="C14" t="n">
        <v>2</v>
      </c>
      <c r="D14" t="n">
        <v>100000</v>
      </c>
      <c r="E14" t="n">
        <v>100000</v>
      </c>
      <c r="F14" s="34" t="n">
        <v>0.01</v>
      </c>
      <c r="G14" s="35" t="n">
        <v>0.4</v>
      </c>
      <c r="H14" s="35" t="n">
        <v>927.7</v>
      </c>
      <c r="I14" t="n">
        <v>1</v>
      </c>
      <c r="J14" t="n">
        <v>-7</v>
      </c>
      <c r="K14" t="n">
        <v>-0.1</v>
      </c>
      <c r="L14" t="n">
        <v>0.01</v>
      </c>
      <c r="M14" t="n">
        <v>0.01</v>
      </c>
      <c r="N14" t="inlineStr">
        <is>
          <t>FX</t>
        </is>
      </c>
    </row>
    <row r="15">
      <c r="A15" t="inlineStr">
        <is>
          <t>Dólar / Yen Japonés</t>
        </is>
      </c>
      <c r="B15" t="inlineStr">
        <is>
          <t>USDJPY</t>
        </is>
      </c>
      <c r="C15" t="n">
        <v>3</v>
      </c>
      <c r="D15" t="n">
        <v>100000</v>
      </c>
      <c r="E15" t="n">
        <v>600363.7</v>
      </c>
      <c r="F15" s="34" t="n">
        <v>0.010065</v>
      </c>
      <c r="G15" s="35" t="n">
        <v>0.04</v>
      </c>
      <c r="H15" s="35" t="n">
        <v>153.523</v>
      </c>
      <c r="I15" t="n">
        <v>1</v>
      </c>
      <c r="J15" t="n">
        <v>-2.513</v>
      </c>
      <c r="K15" t="n">
        <v>-18</v>
      </c>
      <c r="L15" t="n">
        <v>0.01</v>
      </c>
      <c r="M15" t="n">
        <v>0.01</v>
      </c>
      <c r="N15" t="inlineStr">
        <is>
          <t>FX</t>
        </is>
      </c>
    </row>
    <row r="16">
      <c r="A16" t="inlineStr">
        <is>
          <t>Euro / Dólar</t>
        </is>
      </c>
      <c r="B16" t="inlineStr">
        <is>
          <t>EURUSD</t>
        </is>
      </c>
      <c r="C16" t="n">
        <v>5</v>
      </c>
      <c r="D16" t="n">
        <v>100000</v>
      </c>
      <c r="E16" t="n">
        <v>92770000</v>
      </c>
      <c r="F16" s="34" t="n">
        <v>0.01</v>
      </c>
      <c r="G16" s="35" t="n">
        <v>0.00026</v>
      </c>
      <c r="H16" s="35" t="n">
        <v>1.16395</v>
      </c>
      <c r="I16" t="n">
        <v>1</v>
      </c>
      <c r="J16" t="n">
        <v>-15.808</v>
      </c>
      <c r="K16" t="n">
        <v>-1.09</v>
      </c>
      <c r="L16" t="n">
        <v>0.01</v>
      </c>
      <c r="M16" t="n">
        <v>0.01</v>
      </c>
      <c r="N16" t="inlineStr">
        <is>
          <t>FX</t>
        </is>
      </c>
    </row>
    <row r="17">
      <c r="A17" t="inlineStr">
        <is>
          <t>Euro vs Australian Dollar</t>
        </is>
      </c>
      <c r="B17" t="inlineStr">
        <is>
          <t>EURAUD</t>
        </is>
      </c>
      <c r="C17" t="n">
        <v>5</v>
      </c>
      <c r="D17" t="n">
        <v>100000</v>
      </c>
      <c r="E17" t="n">
        <v>67016120.3</v>
      </c>
      <c r="F17" s="34" t="n">
        <v>0.009997000000000001</v>
      </c>
      <c r="G17" s="35" t="n">
        <v>0.0006000000000000001</v>
      </c>
      <c r="H17" s="35" t="n">
        <v>1.61173</v>
      </c>
      <c r="I17" t="n">
        <v>1</v>
      </c>
      <c r="J17" t="n">
        <v>-17.017</v>
      </c>
      <c r="K17" t="n">
        <v>-0.218</v>
      </c>
      <c r="L17" t="n">
        <v>0.01</v>
      </c>
      <c r="M17" t="n">
        <v>0.01</v>
      </c>
      <c r="N17" t="inlineStr">
        <is>
          <t>FX</t>
        </is>
      </c>
    </row>
    <row r="18">
      <c r="A18" t="inlineStr">
        <is>
          <t>Euro vs British Pounds</t>
        </is>
      </c>
      <c r="B18" t="inlineStr">
        <is>
          <t>EURGBP</t>
        </is>
      </c>
      <c r="C18" t="n">
        <v>5</v>
      </c>
      <c r="D18" t="n">
        <v>100000</v>
      </c>
      <c r="E18" t="n">
        <v>125805397</v>
      </c>
      <c r="F18" s="34" t="n">
        <v>0.009996</v>
      </c>
      <c r="G18" s="35" t="n">
        <v>0.0005</v>
      </c>
      <c r="H18" s="35" t="n">
        <v>0.85862</v>
      </c>
      <c r="I18" t="n">
        <v>1</v>
      </c>
      <c r="J18" t="n">
        <v>-10.296</v>
      </c>
      <c r="K18" t="n">
        <v>-0.645</v>
      </c>
      <c r="L18" t="n">
        <v>0.01</v>
      </c>
      <c r="M18" t="n">
        <v>0.01</v>
      </c>
      <c r="N18" t="inlineStr">
        <is>
          <t>FX</t>
        </is>
      </c>
    </row>
    <row r="19">
      <c r="A19" t="inlineStr">
        <is>
          <t>Euro vs Canadian Dollar</t>
        </is>
      </c>
      <c r="B19" t="inlineStr">
        <is>
          <t>EURCAD</t>
        </is>
      </c>
      <c r="C19" t="n">
        <v>5</v>
      </c>
      <c r="D19" t="n">
        <v>100000</v>
      </c>
      <c r="E19" t="n">
        <v>67222202.09</v>
      </c>
      <c r="F19" s="34" t="n">
        <v>0.009997000000000001</v>
      </c>
      <c r="G19" s="35" t="n">
        <v>0.0009000000000000001</v>
      </c>
      <c r="H19" s="35" t="n">
        <v>1.60673</v>
      </c>
      <c r="I19" t="n">
        <v>1</v>
      </c>
      <c r="J19" t="n">
        <v>-6.136</v>
      </c>
      <c r="K19" t="n">
        <v>-2.899</v>
      </c>
      <c r="L19" t="n">
        <v>0.01</v>
      </c>
      <c r="M19" t="n">
        <v>0.01</v>
      </c>
      <c r="N19" t="inlineStr">
        <is>
          <t>FX</t>
        </is>
      </c>
    </row>
    <row r="20">
      <c r="A20" t="inlineStr">
        <is>
          <t>Euro vs Japanese Yen</t>
        </is>
      </c>
      <c r="B20" t="inlineStr">
        <is>
          <t>EURJPY</t>
        </is>
      </c>
      <c r="C20" t="n">
        <v>3</v>
      </c>
      <c r="D20" t="n">
        <v>100000</v>
      </c>
      <c r="E20" t="n">
        <v>604431.76</v>
      </c>
      <c r="F20" s="34" t="n">
        <v>0.009998999999999999</v>
      </c>
      <c r="G20" s="35" t="n">
        <v>0.05</v>
      </c>
      <c r="H20" s="35" t="n">
        <v>178.673</v>
      </c>
      <c r="I20" t="n">
        <v>1</v>
      </c>
      <c r="J20" t="n">
        <v>-5.375</v>
      </c>
      <c r="K20" t="n">
        <v>-11.57</v>
      </c>
      <c r="L20" t="n">
        <v>0.01</v>
      </c>
      <c r="M20" t="n">
        <v>0.01</v>
      </c>
      <c r="N20" t="inlineStr">
        <is>
          <t>FX</t>
        </is>
      </c>
    </row>
    <row r="21">
      <c r="A21" t="inlineStr">
        <is>
          <t>Euro vs New Zealand Dollar</t>
        </is>
      </c>
      <c r="B21" t="inlineStr">
        <is>
          <t>EURNZD</t>
        </is>
      </c>
      <c r="C21" t="n">
        <v>5</v>
      </c>
      <c r="D21" t="n">
        <v>100000</v>
      </c>
      <c r="E21" t="n">
        <v>54227775.8</v>
      </c>
      <c r="F21" s="34" t="n">
        <v>0.009995</v>
      </c>
      <c r="G21" s="35" t="n">
        <v>0.0009000000000000001</v>
      </c>
      <c r="H21" s="35" t="n">
        <v>1.99229</v>
      </c>
      <c r="I21" t="n">
        <v>1</v>
      </c>
      <c r="J21" t="n">
        <v>-7.802</v>
      </c>
      <c r="K21" t="n">
        <v>-2.418</v>
      </c>
      <c r="L21" t="n">
        <v>0.01</v>
      </c>
      <c r="M21" t="n">
        <v>0.01</v>
      </c>
      <c r="N21" t="inlineStr">
        <is>
          <t>FX</t>
        </is>
      </c>
    </row>
    <row r="22">
      <c r="A22" t="inlineStr">
        <is>
          <t>Euro vs Swiss Franc</t>
        </is>
      </c>
      <c r="B22" t="inlineStr">
        <is>
          <t>EURCHF</t>
        </is>
      </c>
      <c r="C22" t="n">
        <v>5</v>
      </c>
      <c r="D22" t="n">
        <v>100000</v>
      </c>
      <c r="E22" t="n">
        <v>114625678.03</v>
      </c>
      <c r="F22" s="34" t="n">
        <v>0.009996</v>
      </c>
      <c r="G22" s="35" t="n">
        <v>0.0005</v>
      </c>
      <c r="H22" s="35" t="n">
        <v>0.9424400000000001</v>
      </c>
      <c r="I22" t="n">
        <v>1</v>
      </c>
      <c r="J22" t="n">
        <v>-5.094</v>
      </c>
      <c r="K22" t="n">
        <v>-12.272</v>
      </c>
      <c r="L22" t="n">
        <v>0.01</v>
      </c>
      <c r="M22" t="n">
        <v>0.01</v>
      </c>
      <c r="N22" t="inlineStr">
        <is>
          <t>FX</t>
        </is>
      </c>
    </row>
    <row r="23">
      <c r="A23" t="inlineStr">
        <is>
          <t>Euro vs Turkish Lira</t>
        </is>
      </c>
      <c r="B23" t="inlineStr">
        <is>
          <t>EURTRY</t>
        </is>
      </c>
      <c r="C23" t="n">
        <v>5</v>
      </c>
      <c r="D23" t="n">
        <v>100000</v>
      </c>
      <c r="E23" t="n">
        <v>1916960.11</v>
      </c>
      <c r="F23" s="34" t="n">
        <v>0.009967999999999999</v>
      </c>
      <c r="G23" s="35" t="n">
        <v>0.1</v>
      </c>
      <c r="H23" s="35" t="n">
        <v>56.50814</v>
      </c>
      <c r="I23" t="n">
        <v>1</v>
      </c>
      <c r="J23" t="n">
        <v>-896.1950000000001</v>
      </c>
      <c r="K23" t="n">
        <v>-179.903</v>
      </c>
      <c r="L23" t="n">
        <v>0.01</v>
      </c>
      <c r="M23" t="n">
        <v>0.01</v>
      </c>
      <c r="N23" t="inlineStr">
        <is>
          <t>FX</t>
        </is>
      </c>
    </row>
    <row r="24">
      <c r="A24" t="inlineStr">
        <is>
          <t>Libra / Dólar</t>
        </is>
      </c>
      <c r="B24" t="inlineStr">
        <is>
          <t>GBPUSD</t>
        </is>
      </c>
      <c r="C24" t="n">
        <v>5</v>
      </c>
      <c r="D24" t="n">
        <v>100000</v>
      </c>
      <c r="E24" t="n">
        <v>92770000</v>
      </c>
      <c r="F24" s="34" t="n">
        <v>0.01</v>
      </c>
      <c r="G24" s="35" t="n">
        <v>0.0005</v>
      </c>
      <c r="H24" s="35" t="n">
        <v>1.3561</v>
      </c>
      <c r="I24" t="n">
        <v>1</v>
      </c>
      <c r="J24" t="n">
        <v>-3.612</v>
      </c>
      <c r="K24" t="n">
        <v>-3.264</v>
      </c>
      <c r="L24" t="n">
        <v>0.01</v>
      </c>
      <c r="M24" t="n">
        <v>0.01</v>
      </c>
      <c r="N24" t="inlineStr">
        <is>
          <t>FX</t>
        </is>
      </c>
    </row>
    <row r="25">
      <c r="A25" t="inlineStr">
        <is>
          <t>New Zealand Dollar vs Canadian Dollar</t>
        </is>
      </c>
      <c r="B25" t="inlineStr">
        <is>
          <t>NZDCAD</t>
        </is>
      </c>
      <c r="C25" t="n">
        <v>5</v>
      </c>
      <c r="D25" t="n">
        <v>100000</v>
      </c>
      <c r="E25" t="n">
        <v>67222202.09</v>
      </c>
      <c r="F25" s="34" t="n">
        <v>0.009998999999999999</v>
      </c>
      <c r="G25" s="35" t="n">
        <v>0.00075</v>
      </c>
      <c r="H25" s="35" t="n">
        <v>0.80681</v>
      </c>
      <c r="I25" t="n">
        <v>1</v>
      </c>
      <c r="J25" t="n">
        <v>-2.249</v>
      </c>
      <c r="K25" t="n">
        <v>-3.029</v>
      </c>
      <c r="L25" t="n">
        <v>0.01</v>
      </c>
      <c r="M25" t="n">
        <v>0.01</v>
      </c>
      <c r="N25" t="inlineStr">
        <is>
          <t>FX</t>
        </is>
      </c>
    </row>
    <row r="26">
      <c r="A26" t="inlineStr">
        <is>
          <t>New Zealand Dollar vs Japanise Yen</t>
        </is>
      </c>
      <c r="B26" t="inlineStr">
        <is>
          <t>NZDJPY</t>
        </is>
      </c>
      <c r="C26" t="n">
        <v>3</v>
      </c>
      <c r="D26" t="n">
        <v>100000</v>
      </c>
      <c r="E26" t="n">
        <v>604431.76</v>
      </c>
      <c r="F26" s="34" t="n">
        <v>0.009998999999999999</v>
      </c>
      <c r="G26" s="35" t="n">
        <v>0.075</v>
      </c>
      <c r="H26" s="35" t="n">
        <v>89.72799999999999</v>
      </c>
      <c r="I26" t="n">
        <v>1</v>
      </c>
      <c r="J26" t="n">
        <v>-1.21</v>
      </c>
      <c r="K26" t="n">
        <v>-7.15</v>
      </c>
      <c r="L26" t="n">
        <v>0.01</v>
      </c>
      <c r="M26" t="n">
        <v>0.01</v>
      </c>
      <c r="N26" t="inlineStr">
        <is>
          <t>FX</t>
        </is>
      </c>
    </row>
    <row r="27">
      <c r="A27" t="inlineStr">
        <is>
          <t>New Zealand Dollar vs Swiss Franc</t>
        </is>
      </c>
      <c r="B27" t="inlineStr">
        <is>
          <t>NZDCHF</t>
        </is>
      </c>
      <c r="C27" t="n">
        <v>5</v>
      </c>
      <c r="D27" t="n">
        <v>100000</v>
      </c>
      <c r="E27" t="n">
        <v>114625678.03</v>
      </c>
      <c r="F27" s="34" t="n">
        <v>0.009993</v>
      </c>
      <c r="G27" s="35" t="n">
        <v>0.00075</v>
      </c>
      <c r="H27" s="35" t="n">
        <v>0.47341</v>
      </c>
      <c r="I27" t="n">
        <v>1</v>
      </c>
      <c r="J27" t="n">
        <v>0.318</v>
      </c>
      <c r="K27" t="n">
        <v>-6.812</v>
      </c>
      <c r="L27" t="n">
        <v>0.01</v>
      </c>
      <c r="M27" t="n">
        <v>0.01</v>
      </c>
      <c r="N27" t="inlineStr">
        <is>
          <t>FX</t>
        </is>
      </c>
    </row>
    <row r="28">
      <c r="A28" t="inlineStr">
        <is>
          <t>New Zealand Dollar vs US Dollar</t>
        </is>
      </c>
      <c r="B28" t="inlineStr">
        <is>
          <t>NZDUSD</t>
        </is>
      </c>
      <c r="C28" t="n">
        <v>5</v>
      </c>
      <c r="D28" t="n">
        <v>100000</v>
      </c>
      <c r="E28" t="n">
        <v>92770000</v>
      </c>
      <c r="F28" s="34" t="n">
        <v>0.01</v>
      </c>
      <c r="G28" s="35" t="n">
        <v>0.0005</v>
      </c>
      <c r="H28" s="35" t="n">
        <v>0.5845399999999999</v>
      </c>
      <c r="I28" t="n">
        <v>1</v>
      </c>
      <c r="J28" t="n">
        <v>-1.449</v>
      </c>
      <c r="K28" t="n">
        <v>-1.965</v>
      </c>
      <c r="L28" t="n">
        <v>0.01</v>
      </c>
      <c r="M28" t="n">
        <v>0.01</v>
      </c>
      <c r="N28" t="inlineStr">
        <is>
          <t>FX</t>
        </is>
      </c>
    </row>
    <row r="29">
      <c r="A29" t="inlineStr">
        <is>
          <t>Swiss Franc vs Japanese Yen</t>
        </is>
      </c>
      <c r="B29" t="inlineStr">
        <is>
          <t>CHFJPY</t>
        </is>
      </c>
      <c r="C29" t="n">
        <v>3</v>
      </c>
      <c r="D29" t="n">
        <v>100000</v>
      </c>
      <c r="E29" t="n">
        <v>604431.76</v>
      </c>
      <c r="F29" s="34" t="n">
        <v>0.01</v>
      </c>
      <c r="G29" s="35" t="n">
        <v>0.075</v>
      </c>
      <c r="H29" s="35" t="n">
        <v>189.646</v>
      </c>
      <c r="I29" t="n">
        <v>1</v>
      </c>
      <c r="J29" t="n">
        <v>-5.657</v>
      </c>
      <c r="K29" t="n">
        <v>-0.869</v>
      </c>
      <c r="L29" t="n">
        <v>0.01</v>
      </c>
      <c r="M29" t="n">
        <v>0.01</v>
      </c>
      <c r="N29" t="inlineStr">
        <is>
          <t>FX</t>
        </is>
      </c>
    </row>
    <row r="30">
      <c r="A30" t="inlineStr">
        <is>
          <t>US Dollar vs Canadian Dollar</t>
        </is>
      </c>
      <c r="B30" t="inlineStr">
        <is>
          <t>USDCAD</t>
        </is>
      </c>
      <c r="C30" t="n">
        <v>5</v>
      </c>
      <c r="D30" t="n">
        <v>100000</v>
      </c>
      <c r="E30" t="n">
        <v>38971295.58</v>
      </c>
      <c r="F30" s="34" t="n">
        <v>0.017244</v>
      </c>
      <c r="G30" s="35" t="n">
        <v>0.00042</v>
      </c>
      <c r="H30" s="35" t="n">
        <v>1.38047</v>
      </c>
      <c r="I30" t="n">
        <v>1</v>
      </c>
      <c r="J30" t="n">
        <v>-2.884</v>
      </c>
      <c r="K30" t="n">
        <v>-9.815</v>
      </c>
      <c r="L30" t="n">
        <v>0.01</v>
      </c>
      <c r="M30" t="n">
        <v>0.01</v>
      </c>
      <c r="N30" t="inlineStr">
        <is>
          <t>FX</t>
        </is>
      </c>
    </row>
    <row r="31">
      <c r="A31" t="inlineStr">
        <is>
          <t>US Dollar vs Mexican Pesos</t>
        </is>
      </c>
      <c r="B31" t="inlineStr">
        <is>
          <t>USDMXN</t>
        </is>
      </c>
      <c r="C31" t="n">
        <v>5</v>
      </c>
      <c r="D31" t="n">
        <v>100000</v>
      </c>
      <c r="E31" t="n">
        <v>5184651.15</v>
      </c>
      <c r="F31" s="34" t="n">
        <v>0.010592</v>
      </c>
      <c r="G31" s="35" t="n">
        <v>0.008</v>
      </c>
      <c r="H31" s="35" t="n">
        <v>16.8932</v>
      </c>
      <c r="I31" t="n">
        <v>1</v>
      </c>
      <c r="J31" t="n">
        <v>-355.797</v>
      </c>
      <c r="K31" t="n">
        <v>12.97</v>
      </c>
      <c r="L31" t="n">
        <v>0.01</v>
      </c>
      <c r="M31" t="n">
        <v>0.01</v>
      </c>
      <c r="N31" t="inlineStr">
        <is>
          <t>FX</t>
        </is>
      </c>
    </row>
    <row r="32">
      <c r="A32" t="inlineStr">
        <is>
          <t>US Dollar vs Swiss Franc</t>
        </is>
      </c>
      <c r="B32" t="inlineStr">
        <is>
          <t>USDCHF</t>
        </is>
      </c>
      <c r="C32" t="n">
        <v>5</v>
      </c>
      <c r="D32" t="n">
        <v>100000</v>
      </c>
      <c r="E32" t="n">
        <v>51258958.02</v>
      </c>
      <c r="F32" s="34" t="n">
        <v>0.022348</v>
      </c>
      <c r="G32" s="35" t="n">
        <v>0.0005</v>
      </c>
      <c r="H32" s="35" t="n">
        <v>0.80983</v>
      </c>
      <c r="I32" t="n">
        <v>1</v>
      </c>
      <c r="J32" t="n">
        <v>-0.221</v>
      </c>
      <c r="K32" t="n">
        <v>-16.003</v>
      </c>
      <c r="L32" t="n">
        <v>0.01</v>
      </c>
      <c r="M32" t="n">
        <v>0.01</v>
      </c>
      <c r="N32" t="inlineStr">
        <is>
          <t>FX</t>
        </is>
      </c>
    </row>
    <row r="33">
      <c r="A33" t="inlineStr">
        <is>
          <t>US Dollar vs Turkish Lira</t>
        </is>
      </c>
      <c r="B33" t="inlineStr">
        <is>
          <t>USDTRY</t>
        </is>
      </c>
      <c r="C33" t="n">
        <v>5</v>
      </c>
      <c r="D33" t="n">
        <v>100000</v>
      </c>
      <c r="E33" t="n">
        <v>1872086.66</v>
      </c>
      <c r="F33" s="34" t="n">
        <v>0.163295</v>
      </c>
      <c r="G33" s="35" t="n">
        <v>0.16</v>
      </c>
      <c r="H33" s="35" t="n">
        <v>48.55433</v>
      </c>
      <c r="I33" t="n">
        <v>1</v>
      </c>
      <c r="J33" t="n">
        <v>-4683.575</v>
      </c>
      <c r="K33" t="n">
        <v>134.429</v>
      </c>
      <c r="L33" t="n">
        <v>0.01</v>
      </c>
      <c r="M33" t="n">
        <v>0.01</v>
      </c>
      <c r="N33" t="inlineStr">
        <is>
          <t>FX</t>
        </is>
      </c>
    </row>
    <row r="34">
      <c r="A34" t="inlineStr">
        <is>
          <t>Natural Gas</t>
        </is>
      </c>
      <c r="B34" t="inlineStr">
        <is>
          <t>NGAS</t>
        </is>
      </c>
      <c r="C34" t="n">
        <v>3</v>
      </c>
      <c r="D34" t="n">
        <v>10000</v>
      </c>
      <c r="E34" t="n">
        <v>9273000</v>
      </c>
      <c r="F34" s="34" t="n">
        <v>0.010004</v>
      </c>
      <c r="G34" s="35" t="n">
        <v>0.01</v>
      </c>
      <c r="H34" s="35" t="n">
        <v>2.903</v>
      </c>
      <c r="I34" t="n">
        <v>1</v>
      </c>
      <c r="J34" t="n">
        <v>-8.1</v>
      </c>
      <c r="K34" t="n">
        <v>-1</v>
      </c>
      <c r="L34" t="n">
        <v>0.01</v>
      </c>
      <c r="M34" t="n">
        <v>0.01</v>
      </c>
      <c r="N34" t="inlineStr">
        <is>
          <t>CFD Commodities</t>
        </is>
      </c>
    </row>
    <row r="35">
      <c r="A35" t="inlineStr">
        <is>
          <t>Oro</t>
        </is>
      </c>
      <c r="B35" t="inlineStr">
        <is>
          <t>XAUUSD</t>
        </is>
      </c>
      <c r="C35" t="n">
        <v>2</v>
      </c>
      <c r="D35" t="n">
        <v>100</v>
      </c>
      <c r="E35" t="n">
        <v>92730</v>
      </c>
      <c r="F35" s="34" t="n">
        <v>0.045019</v>
      </c>
      <c r="G35" s="35" t="n">
        <v>0.6</v>
      </c>
      <c r="H35" s="35" t="n">
        <v>4416.97</v>
      </c>
      <c r="I35" t="n">
        <v>1</v>
      </c>
      <c r="J35" t="n">
        <v>-64</v>
      </c>
      <c r="K35" t="n">
        <v>-6</v>
      </c>
      <c r="L35" t="n">
        <v>0.01</v>
      </c>
      <c r="M35" t="n">
        <v>0.01</v>
      </c>
      <c r="N35" t="inlineStr">
        <is>
          <t>CFD Commodities</t>
        </is>
      </c>
    </row>
    <row r="36">
      <c r="A36" t="inlineStr">
        <is>
          <t>Petróleo Brent</t>
        </is>
      </c>
      <c r="B36" t="inlineStr">
        <is>
          <t>BRENT.spot</t>
        </is>
      </c>
      <c r="C36" t="n">
        <v>3</v>
      </c>
      <c r="D36" t="n">
        <v>100</v>
      </c>
      <c r="E36" t="n">
        <v>92730</v>
      </c>
      <c r="F36" s="34" t="n">
        <v>0.015006</v>
      </c>
      <c r="G36" s="35" t="n">
        <v>0.1</v>
      </c>
      <c r="H36" s="35" t="n">
        <v>102.269</v>
      </c>
      <c r="I36" t="n">
        <v>1</v>
      </c>
      <c r="J36" t="n">
        <v>-20</v>
      </c>
      <c r="K36" t="n">
        <v>-15</v>
      </c>
      <c r="L36" t="n">
        <v>0.01</v>
      </c>
      <c r="M36" t="n">
        <v>0.01</v>
      </c>
      <c r="N36" t="inlineStr">
        <is>
          <t>CFD Commodities</t>
        </is>
      </c>
    </row>
    <row r="37">
      <c r="A37" t="inlineStr">
        <is>
          <t>Petróleo WTI</t>
        </is>
      </c>
      <c r="B37" t="inlineStr">
        <is>
          <t>WTI.spot</t>
        </is>
      </c>
      <c r="C37" t="n">
        <v>3</v>
      </c>
      <c r="D37" t="n">
        <v>100</v>
      </c>
      <c r="E37" t="n">
        <v>92730</v>
      </c>
      <c r="F37" s="34" t="n">
        <v>0.015006</v>
      </c>
      <c r="G37" s="35" t="n">
        <v>0.15</v>
      </c>
      <c r="H37" s="35" t="n">
        <v>96.346</v>
      </c>
      <c r="I37" t="n">
        <v>1</v>
      </c>
      <c r="J37" t="n">
        <v>-20</v>
      </c>
      <c r="K37" t="n">
        <v>-15</v>
      </c>
      <c r="L37" t="n">
        <v>0.01</v>
      </c>
      <c r="M37" t="n">
        <v>0.01</v>
      </c>
      <c r="N37" t="inlineStr">
        <is>
          <t>CFD Commodities</t>
        </is>
      </c>
    </row>
    <row r="38">
      <c r="A38" t="inlineStr">
        <is>
          <t>Plata</t>
        </is>
      </c>
      <c r="B38" t="inlineStr">
        <is>
          <t>XAGUSD</t>
        </is>
      </c>
      <c r="C38" t="n">
        <v>3</v>
      </c>
      <c r="D38" t="n">
        <v>5000</v>
      </c>
      <c r="E38" t="n">
        <v>4636500</v>
      </c>
      <c r="F38" s="34" t="n">
        <v>0.045019</v>
      </c>
      <c r="G38" s="35" t="n">
        <v>0.05</v>
      </c>
      <c r="H38" s="35" t="n">
        <v>67.869</v>
      </c>
      <c r="I38" t="n">
        <v>1</v>
      </c>
      <c r="J38" t="n">
        <v>-4</v>
      </c>
      <c r="K38" t="n">
        <v>-1</v>
      </c>
      <c r="L38" t="n">
        <v>0.01</v>
      </c>
      <c r="M38" t="n">
        <v>0.01</v>
      </c>
      <c r="N38" t="inlineStr">
        <is>
          <t>CFD Commodities</t>
        </is>
      </c>
    </row>
    <row r="39">
      <c r="A39" t="inlineStr">
        <is>
          <t>CAC 40 Francia Spot</t>
        </is>
      </c>
      <c r="B39" t="inlineStr">
        <is>
          <t>FRA40.spot</t>
        </is>
      </c>
      <c r="C39" t="n">
        <v>2</v>
      </c>
      <c r="D39" t="n">
        <v>1</v>
      </c>
      <c r="E39" t="n">
        <v>1079.09</v>
      </c>
      <c r="F39" s="34" t="n">
        <v>0.050033</v>
      </c>
      <c r="G39" s="35" t="n">
        <v>3</v>
      </c>
      <c r="H39" s="35" t="n">
        <v>8153.8</v>
      </c>
      <c r="I39" t="n">
        <v>5</v>
      </c>
      <c r="J39" t="n">
        <v>-3.5838</v>
      </c>
      <c r="K39" t="n">
        <v>-2.258</v>
      </c>
      <c r="L39" t="n">
        <v>0.01</v>
      </c>
      <c r="M39" t="n">
        <v>0.01</v>
      </c>
      <c r="N39" t="inlineStr">
        <is>
          <t>CFD Indices</t>
        </is>
      </c>
    </row>
    <row r="40">
      <c r="A40" t="inlineStr">
        <is>
          <t>CFD based on spot on index FTSE 100</t>
        </is>
      </c>
      <c r="B40" t="inlineStr">
        <is>
          <t>UK100.spot</t>
        </is>
      </c>
      <c r="C40" t="n">
        <v>2</v>
      </c>
      <c r="D40" t="n">
        <v>1</v>
      </c>
      <c r="E40" t="n">
        <v>1257.05</v>
      </c>
      <c r="F40" s="34" t="n">
        <v>0.05004</v>
      </c>
      <c r="G40" s="35" t="n">
        <v>2</v>
      </c>
      <c r="H40" s="35" t="n">
        <v>10657.9</v>
      </c>
      <c r="I40" t="n">
        <v>1</v>
      </c>
      <c r="J40" t="n">
        <v>-5.728</v>
      </c>
      <c r="K40" t="n">
        <v>-5.568</v>
      </c>
      <c r="L40" t="n">
        <v>0.01</v>
      </c>
      <c r="M40" t="n">
        <v>0.01</v>
      </c>
      <c r="N40" t="inlineStr">
        <is>
          <t>CFD Indices</t>
        </is>
      </c>
    </row>
    <row r="41">
      <c r="A41" t="inlineStr">
        <is>
          <t>DAX 40 Alemania Spot</t>
        </is>
      </c>
      <c r="B41" t="inlineStr">
        <is>
          <t>GER40.spot</t>
        </is>
      </c>
      <c r="C41" t="n">
        <v>2</v>
      </c>
      <c r="D41" t="n">
        <v>1</v>
      </c>
      <c r="E41" t="n">
        <v>1079.09</v>
      </c>
      <c r="F41" s="34" t="n">
        <v>0.050033</v>
      </c>
      <c r="G41" s="35" t="n">
        <v>3</v>
      </c>
      <c r="H41" s="35" t="n">
        <v>25534.75</v>
      </c>
      <c r="I41" t="n">
        <v>5</v>
      </c>
      <c r="J41" t="n">
        <v>-3.5001</v>
      </c>
      <c r="K41" t="n">
        <v>-2.2795</v>
      </c>
      <c r="L41" t="n">
        <v>0.01</v>
      </c>
      <c r="M41" t="n">
        <v>0.01</v>
      </c>
      <c r="N41" t="inlineStr">
        <is>
          <t>CFD Indices</t>
        </is>
      </c>
    </row>
    <row r="42">
      <c r="A42" t="inlineStr">
        <is>
          <t>Dow Jones Industrial</t>
        </is>
      </c>
      <c r="B42" t="inlineStr">
        <is>
          <t>US30.spot</t>
        </is>
      </c>
      <c r="C42" t="n">
        <v>2</v>
      </c>
      <c r="D42" t="n">
        <v>1</v>
      </c>
      <c r="E42" t="n">
        <v>927.3</v>
      </c>
      <c r="F42" s="34" t="n">
        <v>0.050022</v>
      </c>
      <c r="G42" s="35" t="n">
        <v>7</v>
      </c>
      <c r="H42" s="35" t="n">
        <v>52495.51</v>
      </c>
      <c r="I42" t="n">
        <v>5</v>
      </c>
      <c r="J42" t="n">
        <v>-3.6161</v>
      </c>
      <c r="K42" t="n">
        <v>-1.9353</v>
      </c>
      <c r="L42" t="n">
        <v>0.01</v>
      </c>
      <c r="M42" t="n">
        <v>0.01</v>
      </c>
      <c r="N42" t="inlineStr">
        <is>
          <t>CFD Indices</t>
        </is>
      </c>
    </row>
    <row r="43">
      <c r="A43" t="inlineStr">
        <is>
          <t>Nasdaq 100</t>
        </is>
      </c>
      <c r="B43" t="inlineStr">
        <is>
          <t>US100.spot</t>
        </is>
      </c>
      <c r="C43" t="n">
        <v>2</v>
      </c>
      <c r="D43" t="n">
        <v>1</v>
      </c>
      <c r="E43" t="n">
        <v>927.3</v>
      </c>
      <c r="F43" s="34" t="n">
        <v>0.050022</v>
      </c>
      <c r="G43" s="35" t="n">
        <v>1</v>
      </c>
      <c r="H43" s="35" t="n">
        <v>29450.69</v>
      </c>
      <c r="I43" t="n">
        <v>5</v>
      </c>
      <c r="J43" t="n">
        <v>-3.8415</v>
      </c>
      <c r="K43" t="n">
        <v>-1.9899</v>
      </c>
      <c r="L43" t="n">
        <v>0.01</v>
      </c>
      <c r="M43" t="n">
        <v>0.01</v>
      </c>
      <c r="N43" t="inlineStr">
        <is>
          <t>CFD Indices</t>
        </is>
      </c>
    </row>
    <row r="44">
      <c r="A44" t="inlineStr">
        <is>
          <t>S&amp;P 500</t>
        </is>
      </c>
      <c r="B44" t="inlineStr">
        <is>
          <t>US500.spot</t>
        </is>
      </c>
      <c r="C44" t="n">
        <v>2</v>
      </c>
      <c r="D44" t="n">
        <v>10</v>
      </c>
      <c r="E44" t="n">
        <v>9273</v>
      </c>
      <c r="F44" s="34" t="n">
        <v>0.050022</v>
      </c>
      <c r="G44" s="35" t="n">
        <v>1</v>
      </c>
      <c r="H44" s="35" t="n">
        <v>7651.18</v>
      </c>
      <c r="I44" t="n">
        <v>5</v>
      </c>
      <c r="J44" t="n">
        <v>-3.8415</v>
      </c>
      <c r="K44" t="n">
        <v>-1.9899</v>
      </c>
      <c r="L44" t="n">
        <v>0.01</v>
      </c>
      <c r="M44" t="n">
        <v>0.01</v>
      </c>
      <c r="N44" t="inlineStr">
        <is>
          <t>CFD Indices</t>
        </is>
      </c>
    </row>
    <row r="45">
      <c r="A45" t="inlineStr">
        <is>
          <t>Bitcoin</t>
        </is>
      </c>
      <c r="B45" t="inlineStr">
        <is>
          <t>BTCUSD</t>
        </is>
      </c>
      <c r="C45" t="n">
        <v>2</v>
      </c>
      <c r="D45" t="n">
        <v>1</v>
      </c>
      <c r="E45" t="n">
        <v>927.3</v>
      </c>
      <c r="F45" s="34" t="n">
        <v>0.015006</v>
      </c>
      <c r="G45" s="35" t="n">
        <v>84</v>
      </c>
      <c r="H45" s="35" t="n">
        <v>78683.2</v>
      </c>
      <c r="I45" t="n">
        <v>5</v>
      </c>
      <c r="J45" t="n">
        <v>-0.288</v>
      </c>
      <c r="K45" t="n">
        <v>-0.082</v>
      </c>
      <c r="L45" t="n">
        <v>0.01</v>
      </c>
      <c r="M45" t="n">
        <v>0.01</v>
      </c>
      <c r="N45" t="inlineStr">
        <is>
          <t>Criptomonedas</t>
        </is>
      </c>
    </row>
    <row r="46">
      <c r="A46" t="inlineStr">
        <is>
          <t>Cardano</t>
        </is>
      </c>
      <c r="B46" t="inlineStr">
        <is>
          <t>ADAUSD</t>
        </is>
      </c>
      <c r="C46" t="n">
        <v>4</v>
      </c>
      <c r="D46" t="n">
        <v>1000</v>
      </c>
      <c r="E46" t="n">
        <v>927300</v>
      </c>
      <c r="F46" s="34" t="n">
        <v>0.006003</v>
      </c>
      <c r="G46" s="35" t="n">
        <v>0.0103</v>
      </c>
      <c r="H46" s="35" t="n">
        <v>0.2223</v>
      </c>
      <c r="I46" t="n">
        <v>5</v>
      </c>
      <c r="J46" t="n">
        <v>-0.226</v>
      </c>
      <c r="K46" t="n">
        <v>-0.082</v>
      </c>
      <c r="L46" t="n">
        <v>0.01</v>
      </c>
      <c r="M46" t="n">
        <v>0.01</v>
      </c>
      <c r="N46" t="inlineStr">
        <is>
          <t>Criptomonedas</t>
        </is>
      </c>
    </row>
    <row r="47">
      <c r="A47" t="inlineStr">
        <is>
          <t>Dogecoin</t>
        </is>
      </c>
      <c r="B47" t="inlineStr">
        <is>
          <t>DOGUSD</t>
        </is>
      </c>
      <c r="C47" t="n">
        <v>4</v>
      </c>
      <c r="D47" t="n">
        <v>10000</v>
      </c>
      <c r="E47" t="n">
        <v>9273000</v>
      </c>
      <c r="F47" s="34" t="n">
        <v>0.006003</v>
      </c>
      <c r="G47" s="35" t="n">
        <v>0.0102</v>
      </c>
      <c r="H47" s="35" t="n">
        <v>0.0939</v>
      </c>
      <c r="I47" t="n">
        <v>5</v>
      </c>
      <c r="J47" t="n">
        <v>-0.226</v>
      </c>
      <c r="K47" t="n">
        <v>-0.082</v>
      </c>
      <c r="L47" t="n">
        <v>0.01</v>
      </c>
      <c r="M47" t="n">
        <v>0.01</v>
      </c>
      <c r="N47" t="inlineStr">
        <is>
          <t>Criptomonedas</t>
        </is>
      </c>
    </row>
    <row r="48">
      <c r="A48" t="inlineStr">
        <is>
          <t>Ethereum</t>
        </is>
      </c>
      <c r="B48" t="inlineStr">
        <is>
          <t>ETHUSD</t>
        </is>
      </c>
      <c r="C48" t="n">
        <v>2</v>
      </c>
      <c r="D48" t="n">
        <v>1</v>
      </c>
      <c r="E48" t="n">
        <v>927.3</v>
      </c>
      <c r="F48" s="34" t="n">
        <v>0.005002</v>
      </c>
      <c r="G48" s="35" t="n">
        <v>9.59</v>
      </c>
      <c r="H48" s="35" t="n">
        <v>2494.85</v>
      </c>
      <c r="I48" t="n">
        <v>5</v>
      </c>
      <c r="J48" t="n">
        <v>-0.288</v>
      </c>
      <c r="K48" t="n">
        <v>-0.103</v>
      </c>
      <c r="L48" t="n">
        <v>0.2</v>
      </c>
      <c r="M48" t="n">
        <v>0.1</v>
      </c>
      <c r="N48" t="inlineStr">
        <is>
          <t>Criptomonedas</t>
        </is>
      </c>
    </row>
    <row r="49">
      <c r="A49" t="inlineStr">
        <is>
          <t>Litecoin</t>
        </is>
      </c>
      <c r="B49" t="inlineStr">
        <is>
          <t>LTCUSD</t>
        </is>
      </c>
      <c r="C49" t="n">
        <v>2</v>
      </c>
      <c r="D49" t="n">
        <v>10</v>
      </c>
      <c r="E49" t="n">
        <v>9273</v>
      </c>
      <c r="F49" s="34" t="n">
        <v>0.005002</v>
      </c>
      <c r="G49" s="35" t="n">
        <v>1.61</v>
      </c>
      <c r="H49" s="35" t="n">
        <v>55.04</v>
      </c>
      <c r="I49" t="n">
        <v>5</v>
      </c>
      <c r="J49" t="n">
        <v>-0.226</v>
      </c>
      <c r="K49" t="n">
        <v>-0.082</v>
      </c>
      <c r="L49" t="n">
        <v>0.15</v>
      </c>
      <c r="M49" t="n">
        <v>0.01</v>
      </c>
      <c r="N49" t="inlineStr">
        <is>
          <t>Criptomonedas</t>
        </is>
      </c>
    </row>
    <row r="50">
      <c r="A50" t="inlineStr">
        <is>
          <t>Solana</t>
        </is>
      </c>
      <c r="B50" t="inlineStr">
        <is>
          <t>SOLUSD</t>
        </is>
      </c>
      <c r="C50" t="n">
        <v>2</v>
      </c>
      <c r="D50" t="n">
        <v>100</v>
      </c>
      <c r="E50" t="n">
        <v>92730</v>
      </c>
      <c r="F50" s="34" t="n">
        <v>0.006003</v>
      </c>
      <c r="G50" s="35" t="n">
        <v>0.65</v>
      </c>
      <c r="H50" s="35" t="n">
        <v>103.75</v>
      </c>
      <c r="I50" t="n">
        <v>5</v>
      </c>
      <c r="J50" t="n">
        <v>-0.226</v>
      </c>
      <c r="K50" t="n">
        <v>-0.082</v>
      </c>
      <c r="L50" t="n">
        <v>0.01</v>
      </c>
      <c r="M50" t="n">
        <v>0.01</v>
      </c>
      <c r="N50" t="inlineStr">
        <is>
          <t>Criptomonedas</t>
        </is>
      </c>
    </row>
    <row r="51">
      <c r="A51" t="inlineStr">
        <is>
          <t>ETF Direxoin Daily Financial Bull 3x Shares</t>
        </is>
      </c>
      <c r="B51" t="inlineStr">
        <is>
          <t>FAS.US</t>
        </is>
      </c>
      <c r="C51" t="n">
        <v>2</v>
      </c>
      <c r="D51" t="n">
        <v>1</v>
      </c>
      <c r="E51" t="n">
        <v>927.3</v>
      </c>
      <c r="F51" s="34" t="n">
        <v>0.250108</v>
      </c>
      <c r="G51" s="35" t="n">
        <v>0.26</v>
      </c>
      <c r="H51" s="35" t="n">
        <v>173.63</v>
      </c>
      <c r="I51" t="n">
        <v>5</v>
      </c>
      <c r="J51" t="n">
        <v>-5.1</v>
      </c>
      <c r="K51" t="n">
        <v>-5.1</v>
      </c>
      <c r="L51" t="n">
        <v>0.1</v>
      </c>
      <c r="M51" t="n">
        <v>0.1</v>
      </c>
      <c r="N51" t="inlineStr">
        <is>
          <t>CFD ETF</t>
        </is>
      </c>
    </row>
    <row r="52">
      <c r="A52" t="inlineStr">
        <is>
          <t>ETF Financial Select Sector SPDR CFD</t>
        </is>
      </c>
      <c r="B52" t="inlineStr">
        <is>
          <t>XLF.US</t>
        </is>
      </c>
      <c r="C52" t="n">
        <v>2</v>
      </c>
      <c r="D52" t="n">
        <v>1</v>
      </c>
      <c r="E52" t="n">
        <v>927.3</v>
      </c>
      <c r="F52" s="34" t="n">
        <v>0.250108</v>
      </c>
      <c r="G52" s="35" t="n">
        <v>0.06</v>
      </c>
      <c r="H52" s="35" t="n">
        <v>57.2</v>
      </c>
      <c r="I52" t="n">
        <v>5</v>
      </c>
      <c r="J52" t="n">
        <v>-5.1</v>
      </c>
      <c r="K52" t="n">
        <v>-5.1</v>
      </c>
      <c r="L52" t="n">
        <v>0.1</v>
      </c>
      <c r="M52" t="n">
        <v>0.1</v>
      </c>
      <c r="N52" t="inlineStr">
        <is>
          <t>CFD ETF</t>
        </is>
      </c>
    </row>
    <row r="53">
      <c r="A53" t="inlineStr">
        <is>
          <t>ETF Global X Artificial Intelligence &amp; Technology</t>
        </is>
      </c>
      <c r="B53" t="inlineStr">
        <is>
          <t>AIQ.US</t>
        </is>
      </c>
      <c r="C53" t="n">
        <v>2</v>
      </c>
      <c r="D53" t="n">
        <v>1</v>
      </c>
      <c r="E53" t="n">
        <v>927.3</v>
      </c>
      <c r="F53" s="34" t="n">
        <v>0.100043</v>
      </c>
      <c r="G53" s="35" t="n">
        <v>0.05</v>
      </c>
      <c r="H53" s="35" t="n">
        <v>64.27</v>
      </c>
      <c r="I53" t="n">
        <v>5</v>
      </c>
      <c r="J53" t="n">
        <v>-5.1</v>
      </c>
      <c r="K53" t="n">
        <v>-5.1</v>
      </c>
      <c r="L53" t="n">
        <v>0.1</v>
      </c>
      <c r="M53" t="n">
        <v>0.1</v>
      </c>
      <c r="N53" t="inlineStr">
        <is>
          <t>CFD ETF</t>
        </is>
      </c>
    </row>
    <row r="54">
      <c r="A54" t="inlineStr">
        <is>
          <t>ETF Vanguard Total Bond Market ETF</t>
        </is>
      </c>
      <c r="B54" t="inlineStr">
        <is>
          <t>BND.US</t>
        </is>
      </c>
      <c r="C54" t="n">
        <v>2</v>
      </c>
      <c r="D54" t="n">
        <v>1</v>
      </c>
      <c r="E54" t="n">
        <v>927.3</v>
      </c>
      <c r="F54" s="34" t="n">
        <v>0.250108</v>
      </c>
      <c r="G54" s="35" t="n">
        <v>0.26</v>
      </c>
      <c r="H54" s="35" t="n">
        <v>71.89</v>
      </c>
      <c r="I54" t="n">
        <v>5</v>
      </c>
      <c r="J54" t="n">
        <v>-5.1</v>
      </c>
      <c r="K54" t="n">
        <v>-5.1</v>
      </c>
      <c r="L54" t="n">
        <v>0.1</v>
      </c>
      <c r="M54" t="n">
        <v>0.1</v>
      </c>
      <c r="N54" t="inlineStr">
        <is>
          <t>CFD ETF</t>
        </is>
      </c>
    </row>
    <row r="55">
      <c r="A55" t="inlineStr">
        <is>
          <t>ETF Vanguard Total International Bond ETF</t>
        </is>
      </c>
      <c r="B55" t="inlineStr">
        <is>
          <t>BNDX.US</t>
        </is>
      </c>
      <c r="C55" t="n">
        <v>2</v>
      </c>
      <c r="D55" t="n">
        <v>1</v>
      </c>
      <c r="E55" t="n">
        <v>927.3</v>
      </c>
      <c r="F55" s="34" t="n">
        <v>0.250108</v>
      </c>
      <c r="G55" s="35" t="n">
        <v>0.26</v>
      </c>
      <c r="H55" s="35" t="n">
        <v>47.39</v>
      </c>
      <c r="I55" t="n">
        <v>5</v>
      </c>
      <c r="J55" t="n">
        <v>-5.1</v>
      </c>
      <c r="K55" t="n">
        <v>-5.1</v>
      </c>
      <c r="L55" t="n">
        <v>0.1</v>
      </c>
      <c r="M55" t="n">
        <v>0.1</v>
      </c>
      <c r="N55" t="inlineStr">
        <is>
          <t>CFD ETF</t>
        </is>
      </c>
    </row>
    <row r="56">
      <c r="A56" t="inlineStr">
        <is>
          <t>ETF iShares China Large-Cap CFD</t>
        </is>
      </c>
      <c r="B56" t="inlineStr">
        <is>
          <t>FXI.US</t>
        </is>
      </c>
      <c r="C56" t="n">
        <v>2</v>
      </c>
      <c r="D56" t="n">
        <v>1</v>
      </c>
      <c r="E56" t="n">
        <v>927.3</v>
      </c>
      <c r="F56" s="34" t="n">
        <v>0.100043</v>
      </c>
      <c r="G56" s="35" t="n">
        <v>0.15</v>
      </c>
      <c r="H56" s="35" t="n">
        <v>34.72</v>
      </c>
      <c r="I56" t="n">
        <v>5</v>
      </c>
      <c r="J56" t="n">
        <v>-5.1</v>
      </c>
      <c r="K56" t="n">
        <v>-5.1</v>
      </c>
      <c r="L56" t="n">
        <v>0.1</v>
      </c>
      <c r="M56" t="n">
        <v>0.1</v>
      </c>
      <c r="N56" t="inlineStr">
        <is>
          <t>CFD ETF</t>
        </is>
      </c>
    </row>
    <row r="57">
      <c r="A57" t="inlineStr">
        <is>
          <t>ETF iShares MSCI Brazil Capped CFD</t>
        </is>
      </c>
      <c r="B57" t="inlineStr">
        <is>
          <t>EWZ.US</t>
        </is>
      </c>
      <c r="C57" t="n">
        <v>2</v>
      </c>
      <c r="D57" t="n">
        <v>1</v>
      </c>
      <c r="E57" t="n">
        <v>927.3</v>
      </c>
      <c r="F57" s="34" t="n">
        <v>0.100043</v>
      </c>
      <c r="G57" s="35" t="n">
        <v>0.22</v>
      </c>
      <c r="H57" s="35" t="n">
        <v>38.25</v>
      </c>
      <c r="I57" t="n">
        <v>5</v>
      </c>
      <c r="J57" t="n">
        <v>-5.1</v>
      </c>
      <c r="K57" t="n">
        <v>-5.1</v>
      </c>
      <c r="L57" t="n">
        <v>0.1</v>
      </c>
      <c r="M57" t="n">
        <v>0.1</v>
      </c>
      <c r="N57" t="inlineStr">
        <is>
          <t>CFD ETF</t>
        </is>
      </c>
    </row>
    <row r="58">
      <c r="A58" t="inlineStr">
        <is>
          <t>ETF iShares MSCI Emerging Markets CFD</t>
        </is>
      </c>
      <c r="B58" t="inlineStr">
        <is>
          <t>EEM.US</t>
        </is>
      </c>
      <c r="C58" t="n">
        <v>2</v>
      </c>
      <c r="D58" t="n">
        <v>1</v>
      </c>
      <c r="E58" t="n">
        <v>927.3</v>
      </c>
      <c r="F58" s="34" t="n">
        <v>0.100043</v>
      </c>
      <c r="G58" s="35" t="n">
        <v>0.15</v>
      </c>
      <c r="H58" s="35" t="n">
        <v>68.68000000000001</v>
      </c>
      <c r="I58" t="n">
        <v>5</v>
      </c>
      <c r="J58" t="n">
        <v>-5.1</v>
      </c>
      <c r="K58" t="n">
        <v>-5.1</v>
      </c>
      <c r="L58" t="n">
        <v>0.1</v>
      </c>
      <c r="M58" t="n">
        <v>0.1</v>
      </c>
      <c r="N58" t="inlineStr">
        <is>
          <t>CFD ETF</t>
        </is>
      </c>
    </row>
    <row r="59">
      <c r="A59" t="inlineStr">
        <is>
          <t>Invesco QQQ Trust (Nasdaq 100)</t>
        </is>
      </c>
      <c r="B59" t="inlineStr">
        <is>
          <t>QQQ.US</t>
        </is>
      </c>
      <c r="C59" t="n">
        <v>2</v>
      </c>
      <c r="D59" t="n">
        <v>1</v>
      </c>
      <c r="E59" t="n">
        <v>927.3</v>
      </c>
      <c r="F59" s="34" t="n">
        <v>0.100043</v>
      </c>
      <c r="G59" s="35" t="n">
        <v>0.53</v>
      </c>
      <c r="H59" s="35" t="n">
        <v>716.5700000000001</v>
      </c>
      <c r="I59" t="n">
        <v>5</v>
      </c>
      <c r="J59" t="n">
        <v>-5.1</v>
      </c>
      <c r="K59" t="n">
        <v>-5.1</v>
      </c>
      <c r="L59" t="n">
        <v>0.1</v>
      </c>
      <c r="M59" t="n">
        <v>0.1</v>
      </c>
      <c r="N59" t="inlineStr">
        <is>
          <t>CFD ETF</t>
        </is>
      </c>
    </row>
    <row r="60">
      <c r="A60" t="inlineStr">
        <is>
          <t>SPDR Gold Shares</t>
        </is>
      </c>
      <c r="B60" t="inlineStr">
        <is>
          <t>GLD.US</t>
        </is>
      </c>
      <c r="C60" t="n">
        <v>2</v>
      </c>
      <c r="D60" t="n">
        <v>1</v>
      </c>
      <c r="E60" t="n">
        <v>927.3</v>
      </c>
      <c r="F60" s="34" t="n">
        <v>0.100043</v>
      </c>
      <c r="G60" s="35" t="n">
        <v>0.25</v>
      </c>
      <c r="H60" s="35" t="n">
        <v>405.11</v>
      </c>
      <c r="I60" t="n">
        <v>5</v>
      </c>
      <c r="J60" t="n">
        <v>-5.1</v>
      </c>
      <c r="K60" t="n">
        <v>-5.1</v>
      </c>
      <c r="L60" t="n">
        <v>0.1</v>
      </c>
      <c r="M60" t="n">
        <v>0.1</v>
      </c>
      <c r="N60" t="inlineStr">
        <is>
          <t>CFD ETF</t>
        </is>
      </c>
    </row>
    <row r="61">
      <c r="A61" t="inlineStr">
        <is>
          <t>SPDR S&amp;P 500 ETF</t>
        </is>
      </c>
      <c r="B61" t="inlineStr">
        <is>
          <t>SPY.US</t>
        </is>
      </c>
      <c r="C61" t="n">
        <v>2</v>
      </c>
      <c r="D61" t="n">
        <v>1</v>
      </c>
      <c r="E61" t="n">
        <v>927.3</v>
      </c>
      <c r="F61" s="34" t="n">
        <v>0.100043</v>
      </c>
      <c r="G61" s="35" t="n">
        <v>0.48</v>
      </c>
      <c r="H61" s="35" t="n">
        <v>763</v>
      </c>
      <c r="I61" t="n">
        <v>5</v>
      </c>
      <c r="J61" t="n">
        <v>-5.1</v>
      </c>
      <c r="K61" t="n">
        <v>-5.1</v>
      </c>
      <c r="L61" t="n">
        <v>0.1</v>
      </c>
      <c r="M61" t="n">
        <v>0.1</v>
      </c>
      <c r="N61" t="inlineStr">
        <is>
          <t>CFD ETF</t>
        </is>
      </c>
    </row>
    <row r="62">
      <c r="A62" t="inlineStr">
        <is>
          <t>iShares Russell 2000 (empresas pequeñas)</t>
        </is>
      </c>
      <c r="B62" t="inlineStr">
        <is>
          <t>IWM.US</t>
        </is>
      </c>
      <c r="C62" t="n">
        <v>2</v>
      </c>
      <c r="D62" t="n">
        <v>1</v>
      </c>
      <c r="E62" t="n">
        <v>927.3</v>
      </c>
      <c r="F62" s="34" t="n">
        <v>0.250108</v>
      </c>
      <c r="G62" s="35" t="n">
        <v>0.26</v>
      </c>
      <c r="H62" s="35" t="n">
        <v>291.12</v>
      </c>
      <c r="I62" t="n">
        <v>5</v>
      </c>
      <c r="J62" t="n">
        <v>-5.1</v>
      </c>
      <c r="K62" t="n">
        <v>-5.1</v>
      </c>
      <c r="L62" t="n">
        <v>0.1</v>
      </c>
      <c r="M62" t="n">
        <v>0.1</v>
      </c>
      <c r="N62" t="inlineStr">
        <is>
          <t>CFD ETF</t>
        </is>
      </c>
    </row>
    <row r="63">
      <c r="A63" t="inlineStr">
        <is>
          <t>iShares Semiconductor ETF (chips)</t>
        </is>
      </c>
      <c r="B63" t="inlineStr">
        <is>
          <t>SOXX.US</t>
        </is>
      </c>
      <c r="C63" t="n">
        <v>2</v>
      </c>
      <c r="D63" t="n">
        <v>1</v>
      </c>
      <c r="E63" t="n">
        <v>927.3</v>
      </c>
      <c r="F63" s="34" t="n">
        <v>0.100043</v>
      </c>
      <c r="G63" s="35" t="n">
        <v>0.4</v>
      </c>
      <c r="H63" s="35" t="n">
        <v>531.87</v>
      </c>
      <c r="I63" t="n">
        <v>5</v>
      </c>
      <c r="J63" t="n">
        <v>-5.1</v>
      </c>
      <c r="K63" t="n">
        <v>-5.1</v>
      </c>
      <c r="L63" t="n">
        <v>0.1</v>
      </c>
      <c r="M63" t="n">
        <v>0.1</v>
      </c>
      <c r="N63" t="inlineStr">
        <is>
          <t>CFD ETF</t>
        </is>
      </c>
    </row>
    <row r="64">
      <c r="A64" t="inlineStr">
        <is>
          <t>AT&amp;T Inc.</t>
        </is>
      </c>
      <c r="B64" t="inlineStr">
        <is>
          <t>#T</t>
        </is>
      </c>
      <c r="C64" t="n">
        <v>2</v>
      </c>
      <c r="D64" t="n">
        <v>1</v>
      </c>
      <c r="E64" t="n">
        <v>927.3</v>
      </c>
      <c r="F64" s="34" t="n">
        <v>0.005002</v>
      </c>
      <c r="G64" s="35" t="n">
        <v>0.14</v>
      </c>
      <c r="H64" s="35" t="n">
        <v>25.23</v>
      </c>
      <c r="I64" t="n">
        <v>5</v>
      </c>
      <c r="J64" t="n">
        <v>-5.1</v>
      </c>
      <c r="K64" t="n">
        <v>-5.1</v>
      </c>
      <c r="L64" t="n">
        <v>0.1</v>
      </c>
      <c r="M64" t="n">
        <v>0.1</v>
      </c>
      <c r="N64" t="inlineStr">
        <is>
          <t>CFD Acciones</t>
        </is>
      </c>
    </row>
    <row r="65">
      <c r="A65" t="inlineStr">
        <is>
          <t>Abbott Laboratories</t>
        </is>
      </c>
      <c r="B65" t="inlineStr">
        <is>
          <t>#ABT</t>
        </is>
      </c>
      <c r="C65" t="n">
        <v>2</v>
      </c>
      <c r="D65" t="n">
        <v>1</v>
      </c>
      <c r="E65" t="n">
        <v>927.3</v>
      </c>
      <c r="F65" s="34" t="n">
        <v>0.005002</v>
      </c>
      <c r="G65" s="35" t="n">
        <v>0.25</v>
      </c>
      <c r="H65" s="35" t="n">
        <v>105.89</v>
      </c>
      <c r="I65" t="n">
        <v>5</v>
      </c>
      <c r="J65" t="n">
        <v>-5.1</v>
      </c>
      <c r="K65" t="n">
        <v>-5.1</v>
      </c>
      <c r="L65" t="n">
        <v>0.1</v>
      </c>
      <c r="M65" t="n">
        <v>0.1</v>
      </c>
      <c r="N65" t="inlineStr">
        <is>
          <t>CFD Acciones</t>
        </is>
      </c>
    </row>
    <row r="66">
      <c r="A66" t="inlineStr">
        <is>
          <t>Adobe Systems Incorporated</t>
        </is>
      </c>
      <c r="B66" t="inlineStr">
        <is>
          <t>#ADBE</t>
        </is>
      </c>
      <c r="C66" t="n">
        <v>2</v>
      </c>
      <c r="D66" t="n">
        <v>1</v>
      </c>
      <c r="E66" t="n">
        <v>927.3</v>
      </c>
      <c r="F66" s="34" t="n">
        <v>0.002501</v>
      </c>
      <c r="G66" s="35" t="n">
        <v>1.48</v>
      </c>
      <c r="H66" s="35" t="n">
        <v>258.14</v>
      </c>
      <c r="I66" t="n">
        <v>5</v>
      </c>
      <c r="J66" t="n">
        <v>-5.1</v>
      </c>
      <c r="K66" t="n">
        <v>-5.1</v>
      </c>
      <c r="L66" t="n">
        <v>0.1</v>
      </c>
      <c r="M66" t="n">
        <v>0.1</v>
      </c>
      <c r="N66" t="inlineStr">
        <is>
          <t>CFD Acciones</t>
        </is>
      </c>
    </row>
    <row r="67">
      <c r="A67" t="inlineStr">
        <is>
          <t>Advanced Micro Devices</t>
        </is>
      </c>
      <c r="B67" t="inlineStr">
        <is>
          <t>#AMD</t>
        </is>
      </c>
      <c r="C67" t="n">
        <v>2</v>
      </c>
      <c r="D67" t="n">
        <v>1</v>
      </c>
      <c r="E67" t="n">
        <v>927.3</v>
      </c>
      <c r="F67" s="34" t="n">
        <v>0.005002</v>
      </c>
      <c r="G67" s="35" t="n">
        <v>0.26</v>
      </c>
      <c r="H67" s="35" t="n">
        <v>523.41</v>
      </c>
      <c r="I67" t="n">
        <v>5</v>
      </c>
      <c r="J67" t="n">
        <v>-5.1</v>
      </c>
      <c r="K67" t="n">
        <v>-5.1</v>
      </c>
      <c r="L67" t="n">
        <v>0.1</v>
      </c>
      <c r="M67" t="n">
        <v>0.1</v>
      </c>
      <c r="N67" t="inlineStr">
        <is>
          <t>CFD Acciones</t>
        </is>
      </c>
    </row>
    <row r="68">
      <c r="A68" t="inlineStr">
        <is>
          <t>Airbnb Inc.</t>
        </is>
      </c>
      <c r="B68" t="inlineStr">
        <is>
          <t>#ABNB</t>
        </is>
      </c>
      <c r="C68" t="n">
        <v>2</v>
      </c>
      <c r="D68" t="n">
        <v>1</v>
      </c>
      <c r="E68" t="n">
        <v>927.3</v>
      </c>
      <c r="F68" s="34" t="n">
        <v>0.020009</v>
      </c>
      <c r="G68" s="35" t="n">
        <v>0.6</v>
      </c>
      <c r="H68" s="35" t="n">
        <v>170.52</v>
      </c>
      <c r="I68" t="n">
        <v>5</v>
      </c>
      <c r="J68" t="n">
        <v>-5.1</v>
      </c>
      <c r="K68" t="n">
        <v>-5.1</v>
      </c>
      <c r="L68" t="n">
        <v>0.1</v>
      </c>
      <c r="M68" t="n">
        <v>0.1</v>
      </c>
      <c r="N68" t="inlineStr">
        <is>
          <t>CFD Acciones</t>
        </is>
      </c>
    </row>
    <row r="69">
      <c r="A69" t="inlineStr">
        <is>
          <t>Alibaba Group Holding Limited</t>
        </is>
      </c>
      <c r="B69" t="inlineStr">
        <is>
          <t>#BABA</t>
        </is>
      </c>
      <c r="C69" t="n">
        <v>2</v>
      </c>
      <c r="D69" t="n">
        <v>1</v>
      </c>
      <c r="E69" t="n">
        <v>927.3</v>
      </c>
      <c r="F69" s="34" t="n">
        <v>0.005002</v>
      </c>
      <c r="G69" s="35" t="n">
        <v>0.4</v>
      </c>
      <c r="H69" s="35" t="n">
        <v>109.96</v>
      </c>
      <c r="I69" t="n">
        <v>5</v>
      </c>
      <c r="J69" t="n">
        <v>-5.1</v>
      </c>
      <c r="K69" t="n">
        <v>-5.1</v>
      </c>
      <c r="L69" t="n">
        <v>0.1</v>
      </c>
      <c r="M69" t="n">
        <v>0.1</v>
      </c>
      <c r="N69" t="inlineStr">
        <is>
          <t>CFD Acciones</t>
        </is>
      </c>
    </row>
    <row r="70">
      <c r="A70" t="inlineStr">
        <is>
          <t>Alphabet Inc. Class C (Google)</t>
        </is>
      </c>
      <c r="B70" t="inlineStr">
        <is>
          <t>#GOOG</t>
        </is>
      </c>
      <c r="C70" t="n">
        <v>2</v>
      </c>
      <c r="D70" t="n">
        <v>1</v>
      </c>
      <c r="E70" t="n">
        <v>927.3</v>
      </c>
      <c r="F70" s="34" t="n">
        <v>0.002501</v>
      </c>
      <c r="G70" s="35" t="n">
        <v>0.35</v>
      </c>
      <c r="H70" s="35" t="n">
        <v>328.16</v>
      </c>
      <c r="I70" t="n">
        <v>5</v>
      </c>
      <c r="J70" t="n">
        <v>-5.1</v>
      </c>
      <c r="K70" t="n">
        <v>-5.1</v>
      </c>
      <c r="L70" t="n">
        <v>0.1</v>
      </c>
      <c r="M70" t="n">
        <v>0.1</v>
      </c>
      <c r="N70" t="inlineStr">
        <is>
          <t>CFD Acciones</t>
        </is>
      </c>
    </row>
    <row r="71">
      <c r="A71" t="inlineStr">
        <is>
          <t>Amazon.com Inc.</t>
        </is>
      </c>
      <c r="B71" t="inlineStr">
        <is>
          <t>#AMZN</t>
        </is>
      </c>
      <c r="C71" t="n">
        <v>2</v>
      </c>
      <c r="D71" t="n">
        <v>1</v>
      </c>
      <c r="E71" t="n">
        <v>927.3</v>
      </c>
      <c r="F71" s="34" t="n">
        <v>0.007503</v>
      </c>
      <c r="G71" s="35" t="n">
        <v>0.31</v>
      </c>
      <c r="H71" s="35" t="n">
        <v>252.3</v>
      </c>
      <c r="I71" t="n">
        <v>5</v>
      </c>
      <c r="J71" t="n">
        <v>-5.1</v>
      </c>
      <c r="K71" t="n">
        <v>-5.1</v>
      </c>
      <c r="L71" t="n">
        <v>0.1</v>
      </c>
      <c r="M71" t="n">
        <v>0.1</v>
      </c>
      <c r="N71" t="inlineStr">
        <is>
          <t>CFD Acciones</t>
        </is>
      </c>
    </row>
    <row r="72">
      <c r="A72" t="inlineStr">
        <is>
          <t>American Airlines Group Inc.</t>
        </is>
      </c>
      <c r="B72" t="inlineStr">
        <is>
          <t>#AAL</t>
        </is>
      </c>
      <c r="C72" t="n">
        <v>2</v>
      </c>
      <c r="D72" t="n">
        <v>1</v>
      </c>
      <c r="E72" t="n">
        <v>927.3</v>
      </c>
      <c r="F72" s="34" t="n">
        <v>0.005002</v>
      </c>
      <c r="G72" s="35" t="n">
        <v>0.05</v>
      </c>
      <c r="H72" s="35" t="n">
        <v>12.96</v>
      </c>
      <c r="I72" t="n">
        <v>5</v>
      </c>
      <c r="J72" t="n">
        <v>-5.1</v>
      </c>
      <c r="K72" t="n">
        <v>-5.1</v>
      </c>
      <c r="L72" t="n">
        <v>0.1</v>
      </c>
      <c r="M72" t="n">
        <v>0.1</v>
      </c>
      <c r="N72" t="inlineStr">
        <is>
          <t>CFD Acciones</t>
        </is>
      </c>
    </row>
    <row r="73">
      <c r="A73" t="inlineStr">
        <is>
          <t>American Electric Power Co.</t>
        </is>
      </c>
      <c r="B73" t="inlineStr">
        <is>
          <t>#AEP</t>
        </is>
      </c>
      <c r="C73" t="n">
        <v>2</v>
      </c>
      <c r="D73" t="n">
        <v>1</v>
      </c>
      <c r="E73" t="n">
        <v>927.3</v>
      </c>
      <c r="F73" s="34" t="n">
        <v>0.010004</v>
      </c>
      <c r="G73" s="35" t="n">
        <v>0.2</v>
      </c>
      <c r="H73" s="35" t="n">
        <v>124.74</v>
      </c>
      <c r="I73" t="n">
        <v>5</v>
      </c>
      <c r="J73" t="n">
        <v>-5.1</v>
      </c>
      <c r="K73" t="n">
        <v>-5.1</v>
      </c>
      <c r="L73" t="n">
        <v>0.1</v>
      </c>
      <c r="M73" t="n">
        <v>0.1</v>
      </c>
      <c r="N73" t="inlineStr">
        <is>
          <t>CFD Acciones</t>
        </is>
      </c>
    </row>
    <row r="74">
      <c r="A74" t="inlineStr">
        <is>
          <t>American Express Co.</t>
        </is>
      </c>
      <c r="B74" t="inlineStr">
        <is>
          <t>#AXP</t>
        </is>
      </c>
      <c r="C74" t="n">
        <v>2</v>
      </c>
      <c r="D74" t="n">
        <v>1</v>
      </c>
      <c r="E74" t="n">
        <v>927.3</v>
      </c>
      <c r="F74" s="34" t="n">
        <v>0.002501</v>
      </c>
      <c r="G74" s="35" t="n">
        <v>0.31</v>
      </c>
      <c r="H74" s="35" t="n">
        <v>322.56</v>
      </c>
      <c r="I74" t="n">
        <v>5</v>
      </c>
      <c r="J74" t="n">
        <v>-5.1</v>
      </c>
      <c r="K74" t="n">
        <v>-5.1</v>
      </c>
      <c r="L74" t="n">
        <v>0.1</v>
      </c>
      <c r="M74" t="n">
        <v>0.1</v>
      </c>
      <c r="N74" t="inlineStr">
        <is>
          <t>CFD Acciones</t>
        </is>
      </c>
    </row>
    <row r="75">
      <c r="A75" t="inlineStr">
        <is>
          <t>American International Group</t>
        </is>
      </c>
      <c r="B75" t="inlineStr">
        <is>
          <t>#AIG</t>
        </is>
      </c>
      <c r="C75" t="n">
        <v>2</v>
      </c>
      <c r="D75" t="n">
        <v>1</v>
      </c>
      <c r="E75" t="n">
        <v>927.3</v>
      </c>
      <c r="F75" s="34" t="n">
        <v>0.002501</v>
      </c>
      <c r="G75" s="35" t="n">
        <v>0.11</v>
      </c>
      <c r="H75" s="35" t="n">
        <v>74.51000000000001</v>
      </c>
      <c r="I75" t="n">
        <v>5</v>
      </c>
      <c r="J75" t="n">
        <v>-5.1</v>
      </c>
      <c r="K75" t="n">
        <v>-5.1</v>
      </c>
      <c r="L75" t="n">
        <v>0.1</v>
      </c>
      <c r="M75" t="n">
        <v>0.1</v>
      </c>
      <c r="N75" t="inlineStr">
        <is>
          <t>CFD Acciones</t>
        </is>
      </c>
    </row>
    <row r="76">
      <c r="A76" t="inlineStr">
        <is>
          <t>Amgen Inc.</t>
        </is>
      </c>
      <c r="B76" t="inlineStr">
        <is>
          <t>#AMGN</t>
        </is>
      </c>
      <c r="C76" t="n">
        <v>2</v>
      </c>
      <c r="D76" t="n">
        <v>1</v>
      </c>
      <c r="E76" t="n">
        <v>927.3</v>
      </c>
      <c r="F76" s="34" t="n">
        <v>0.002501</v>
      </c>
      <c r="G76" s="35" t="n">
        <v>0.47</v>
      </c>
      <c r="H76" s="35" t="n">
        <v>390.97</v>
      </c>
      <c r="I76" t="n">
        <v>5</v>
      </c>
      <c r="J76" t="n">
        <v>-5.1</v>
      </c>
      <c r="K76" t="n">
        <v>-5.1</v>
      </c>
      <c r="L76" t="n">
        <v>0.1</v>
      </c>
      <c r="M76" t="n">
        <v>0.1</v>
      </c>
      <c r="N76" t="inlineStr">
        <is>
          <t>CFD Acciones</t>
        </is>
      </c>
    </row>
    <row r="77">
      <c r="A77" t="inlineStr">
        <is>
          <t>Apple Inc.</t>
        </is>
      </c>
      <c r="B77" t="inlineStr">
        <is>
          <t>#AAPL</t>
        </is>
      </c>
      <c r="C77" t="n">
        <v>2</v>
      </c>
      <c r="D77" t="n">
        <v>1</v>
      </c>
      <c r="E77" t="n">
        <v>927.3</v>
      </c>
      <c r="F77" s="34" t="n">
        <v>0.005002</v>
      </c>
      <c r="G77" s="35" t="n">
        <v>0.32</v>
      </c>
      <c r="H77" s="35" t="n">
        <v>312.43</v>
      </c>
      <c r="I77" t="n">
        <v>5</v>
      </c>
      <c r="J77" t="n">
        <v>-5.1</v>
      </c>
      <c r="K77" t="n">
        <v>-5.1</v>
      </c>
      <c r="L77" t="n">
        <v>0.1</v>
      </c>
      <c r="M77" t="n">
        <v>0.1</v>
      </c>
      <c r="N77" t="inlineStr">
        <is>
          <t>CFD Acciones</t>
        </is>
      </c>
    </row>
    <row r="78">
      <c r="A78" t="inlineStr">
        <is>
          <t>Baidu Inc. ADR</t>
        </is>
      </c>
      <c r="B78" t="inlineStr">
        <is>
          <t>#BIDU</t>
        </is>
      </c>
      <c r="C78" t="n">
        <v>2</v>
      </c>
      <c r="D78" t="n">
        <v>1</v>
      </c>
      <c r="E78" t="n">
        <v>927.3</v>
      </c>
      <c r="F78" s="34" t="n">
        <v>0.002501</v>
      </c>
      <c r="G78" s="35" t="n">
        <v>0.5700000000000001</v>
      </c>
      <c r="H78" s="35" t="n">
        <v>92.19</v>
      </c>
      <c r="I78" t="n">
        <v>5</v>
      </c>
      <c r="J78" t="n">
        <v>-5.1</v>
      </c>
      <c r="K78" t="n">
        <v>-5.1</v>
      </c>
      <c r="L78" t="n">
        <v>0.1</v>
      </c>
      <c r="M78" t="n">
        <v>0.1</v>
      </c>
      <c r="N78" t="inlineStr">
        <is>
          <t>CFD Acciones</t>
        </is>
      </c>
    </row>
    <row r="79">
      <c r="A79" t="inlineStr">
        <is>
          <t>Bank of America</t>
        </is>
      </c>
      <c r="B79" t="inlineStr">
        <is>
          <t>#BAC</t>
        </is>
      </c>
      <c r="C79" t="n">
        <v>2</v>
      </c>
      <c r="D79" t="n">
        <v>1</v>
      </c>
      <c r="E79" t="n">
        <v>927.3</v>
      </c>
      <c r="F79" s="34" t="n">
        <v>0.005002</v>
      </c>
      <c r="G79" s="35" t="n">
        <v>0.08</v>
      </c>
      <c r="H79" s="35" t="n">
        <v>62.71</v>
      </c>
      <c r="I79" t="n">
        <v>5</v>
      </c>
      <c r="J79" t="n">
        <v>-5.1</v>
      </c>
      <c r="K79" t="n">
        <v>-5.1</v>
      </c>
      <c r="L79" t="n">
        <v>0.1</v>
      </c>
      <c r="M79" t="n">
        <v>0.1</v>
      </c>
      <c r="N79" t="inlineStr">
        <is>
          <t>CFD Acciones</t>
        </is>
      </c>
    </row>
    <row r="80">
      <c r="A80" t="inlineStr">
        <is>
          <t>Baxter International Inc.</t>
        </is>
      </c>
      <c r="B80" t="inlineStr">
        <is>
          <t>#BAX</t>
        </is>
      </c>
      <c r="C80" t="n">
        <v>2</v>
      </c>
      <c r="D80" t="n">
        <v>1</v>
      </c>
      <c r="E80" t="n">
        <v>927.3</v>
      </c>
      <c r="F80" s="34" t="n">
        <v>0.005002</v>
      </c>
      <c r="G80" s="35" t="n">
        <v>0.3</v>
      </c>
      <c r="H80" s="35" t="n">
        <v>24.94</v>
      </c>
      <c r="I80" t="n">
        <v>5</v>
      </c>
      <c r="J80" t="n">
        <v>-5.1</v>
      </c>
      <c r="K80" t="n">
        <v>-5.1</v>
      </c>
      <c r="L80" t="n">
        <v>0.1</v>
      </c>
      <c r="M80" t="n">
        <v>0.1</v>
      </c>
      <c r="N80" t="inlineStr">
        <is>
          <t>CFD Acciones</t>
        </is>
      </c>
    </row>
    <row r="81">
      <c r="A81" t="inlineStr">
        <is>
          <t>Best Buy Co. Inc.</t>
        </is>
      </c>
      <c r="B81" t="inlineStr">
        <is>
          <t>#BBY</t>
        </is>
      </c>
      <c r="C81" t="n">
        <v>2</v>
      </c>
      <c r="D81" t="n">
        <v>1</v>
      </c>
      <c r="E81" t="n">
        <v>927.3</v>
      </c>
      <c r="F81" s="34" t="n">
        <v>0.002501</v>
      </c>
      <c r="G81" s="35" t="n">
        <v>0.2</v>
      </c>
      <c r="H81" s="35" t="n">
        <v>88.92</v>
      </c>
      <c r="I81" t="n">
        <v>5</v>
      </c>
      <c r="J81" t="n">
        <v>-5.1</v>
      </c>
      <c r="K81" t="n">
        <v>-5.1</v>
      </c>
      <c r="L81" t="n">
        <v>0.1</v>
      </c>
      <c r="M81" t="n">
        <v>0.1</v>
      </c>
      <c r="N81" t="inlineStr">
        <is>
          <t>CFD Acciones</t>
        </is>
      </c>
    </row>
    <row r="82">
      <c r="A82" t="inlineStr">
        <is>
          <t>Beyond Meat Inc.</t>
        </is>
      </c>
      <c r="B82" t="inlineStr">
        <is>
          <t>#BYND</t>
        </is>
      </c>
      <c r="C82" t="n">
        <v>2</v>
      </c>
      <c r="D82" t="n">
        <v>1</v>
      </c>
      <c r="E82" t="n">
        <v>927.3</v>
      </c>
      <c r="F82" s="34" t="n">
        <v>0.010004</v>
      </c>
      <c r="G82" s="35" t="n">
        <v>0.05</v>
      </c>
      <c r="H82" s="35" t="n">
        <v>11.15</v>
      </c>
      <c r="I82" t="n">
        <v>5</v>
      </c>
      <c r="J82" t="n">
        <v>-5.1</v>
      </c>
      <c r="K82" t="n">
        <v>-5.1</v>
      </c>
      <c r="L82" t="n">
        <v>0.1</v>
      </c>
      <c r="M82" t="n">
        <v>0.1</v>
      </c>
      <c r="N82" t="inlineStr">
        <is>
          <t>CFD Acciones</t>
        </is>
      </c>
    </row>
    <row r="83">
      <c r="A83" t="inlineStr">
        <is>
          <t>Biogen Idec Inc.</t>
        </is>
      </c>
      <c r="B83" t="inlineStr">
        <is>
          <t>#BIIB</t>
        </is>
      </c>
      <c r="C83" t="n">
        <v>2</v>
      </c>
      <c r="D83" t="n">
        <v>1</v>
      </c>
      <c r="E83" t="n">
        <v>927.3</v>
      </c>
      <c r="F83" s="34" t="n">
        <v>0.005002</v>
      </c>
      <c r="G83" s="35" t="n">
        <v>0.85</v>
      </c>
      <c r="H83" s="35" t="n">
        <v>212.39</v>
      </c>
      <c r="I83" t="n">
        <v>5</v>
      </c>
      <c r="J83" t="n">
        <v>-5.1</v>
      </c>
      <c r="K83" t="n">
        <v>-5.1</v>
      </c>
      <c r="L83" t="n">
        <v>0.1</v>
      </c>
      <c r="M83" t="n">
        <v>0.1</v>
      </c>
      <c r="N83" t="inlineStr">
        <is>
          <t>CFD Acciones</t>
        </is>
      </c>
    </row>
    <row r="84">
      <c r="A84" t="inlineStr">
        <is>
          <t>Boeing Co.</t>
        </is>
      </c>
      <c r="B84" t="inlineStr">
        <is>
          <t>#BA</t>
        </is>
      </c>
      <c r="C84" t="n">
        <v>2</v>
      </c>
      <c r="D84" t="n">
        <v>1</v>
      </c>
      <c r="E84" t="n">
        <v>927.3</v>
      </c>
      <c r="F84" s="34" t="n">
        <v>0.005002</v>
      </c>
      <c r="G84" s="35" t="n">
        <v>0.89</v>
      </c>
      <c r="H84" s="35" t="n">
        <v>208.78</v>
      </c>
      <c r="I84" t="n">
        <v>5</v>
      </c>
      <c r="J84" t="n">
        <v>-5.1</v>
      </c>
      <c r="K84" t="n">
        <v>-5.1</v>
      </c>
      <c r="L84" t="n">
        <v>0.1</v>
      </c>
      <c r="M84" t="n">
        <v>0.1</v>
      </c>
      <c r="N84" t="inlineStr">
        <is>
          <t>CFD Acciones</t>
        </is>
      </c>
    </row>
    <row r="85">
      <c r="A85" t="inlineStr">
        <is>
          <t>Broadcom Ltd.</t>
        </is>
      </c>
      <c r="B85" t="inlineStr">
        <is>
          <t>#AVGO</t>
        </is>
      </c>
      <c r="C85" t="n">
        <v>2</v>
      </c>
      <c r="D85" t="n">
        <v>1</v>
      </c>
      <c r="E85" t="n">
        <v>927.3</v>
      </c>
      <c r="F85" s="34" t="n">
        <v>0.017508</v>
      </c>
      <c r="G85" s="35" t="n">
        <v>2.8</v>
      </c>
      <c r="H85" s="35" t="n">
        <v>366.34</v>
      </c>
      <c r="I85" t="n">
        <v>5</v>
      </c>
      <c r="J85" t="n">
        <v>-5.1</v>
      </c>
      <c r="K85" t="n">
        <v>-5.1</v>
      </c>
      <c r="L85" t="n">
        <v>0.1</v>
      </c>
      <c r="M85" t="n">
        <v>0.1</v>
      </c>
      <c r="N85" t="inlineStr">
        <is>
          <t>CFD Acciones</t>
        </is>
      </c>
    </row>
    <row r="86">
      <c r="A86" t="inlineStr">
        <is>
          <t>Canopy Growth Corp.</t>
        </is>
      </c>
      <c r="B86" t="inlineStr">
        <is>
          <t>#CGC</t>
        </is>
      </c>
      <c r="C86" t="n">
        <v>2</v>
      </c>
      <c r="D86" t="n">
        <v>1</v>
      </c>
      <c r="E86" t="n">
        <v>927.3</v>
      </c>
      <c r="F86" s="34" t="n">
        <v>0.012501</v>
      </c>
      <c r="G86" s="35" t="n">
        <v>0.05</v>
      </c>
      <c r="H86" s="35" t="n">
        <v>0.98</v>
      </c>
      <c r="I86" t="n">
        <v>5</v>
      </c>
      <c r="J86" t="n">
        <v>-5.1</v>
      </c>
      <c r="K86" t="n">
        <v>-5.1</v>
      </c>
      <c r="L86" t="n">
        <v>0.1</v>
      </c>
      <c r="M86" t="n">
        <v>0.1</v>
      </c>
      <c r="N86" t="inlineStr">
        <is>
          <t>CFD Acciones</t>
        </is>
      </c>
    </row>
    <row r="87">
      <c r="A87" t="inlineStr">
        <is>
          <t>Caterpillar Inc.</t>
        </is>
      </c>
      <c r="B87" t="inlineStr">
        <is>
          <t>#CAT</t>
        </is>
      </c>
      <c r="C87" t="n">
        <v>2</v>
      </c>
      <c r="D87" t="n">
        <v>1</v>
      </c>
      <c r="E87" t="n">
        <v>927.3</v>
      </c>
      <c r="F87" s="34" t="n">
        <v>0.002501</v>
      </c>
      <c r="G87" s="35" t="n">
        <v>0.45</v>
      </c>
      <c r="H87" s="35" t="n">
        <v>816.63</v>
      </c>
      <c r="I87" t="n">
        <v>5</v>
      </c>
      <c r="J87" t="n">
        <v>-5.1</v>
      </c>
      <c r="K87" t="n">
        <v>-5.1</v>
      </c>
      <c r="L87" t="n">
        <v>0.1</v>
      </c>
      <c r="M87" t="n">
        <v>0.1</v>
      </c>
      <c r="N87" t="inlineStr">
        <is>
          <t>CFD Acciones</t>
        </is>
      </c>
    </row>
    <row r="88">
      <c r="A88" t="inlineStr">
        <is>
          <t>Chevron Corp.</t>
        </is>
      </c>
      <c r="B88" t="inlineStr">
        <is>
          <t>#CVX</t>
        </is>
      </c>
      <c r="C88" t="n">
        <v>2</v>
      </c>
      <c r="D88" t="n">
        <v>1</v>
      </c>
      <c r="E88" t="n">
        <v>927.3</v>
      </c>
      <c r="F88" s="34" t="n">
        <v>0.002501</v>
      </c>
      <c r="G88" s="35" t="n">
        <v>0.36</v>
      </c>
      <c r="H88" s="35" t="n">
        <v>213.63</v>
      </c>
      <c r="I88" t="n">
        <v>5</v>
      </c>
      <c r="J88" t="n">
        <v>-5.1</v>
      </c>
      <c r="K88" t="n">
        <v>-5.1</v>
      </c>
      <c r="L88" t="n">
        <v>0.1</v>
      </c>
      <c r="M88" t="n">
        <v>0.1</v>
      </c>
      <c r="N88" t="inlineStr">
        <is>
          <t>CFD Acciones</t>
        </is>
      </c>
    </row>
    <row r="89">
      <c r="A89" t="inlineStr">
        <is>
          <t>Cisco Systems</t>
        </is>
      </c>
      <c r="B89" t="inlineStr">
        <is>
          <t>#CSCO</t>
        </is>
      </c>
      <c r="C89" t="n">
        <v>2</v>
      </c>
      <c r="D89" t="n">
        <v>1</v>
      </c>
      <c r="E89" t="n">
        <v>927.3</v>
      </c>
      <c r="F89" s="34" t="n">
        <v>0.005002</v>
      </c>
      <c r="G89" s="35" t="n">
        <v>0.14</v>
      </c>
      <c r="H89" s="35" t="n">
        <v>109.73</v>
      </c>
      <c r="I89" t="n">
        <v>5</v>
      </c>
      <c r="J89" t="n">
        <v>-5.1</v>
      </c>
      <c r="K89" t="n">
        <v>-5.1</v>
      </c>
      <c r="L89" t="n">
        <v>0.1</v>
      </c>
      <c r="M89" t="n">
        <v>0.1</v>
      </c>
      <c r="N89" t="inlineStr">
        <is>
          <t>CFD Acciones</t>
        </is>
      </c>
    </row>
    <row r="90">
      <c r="A90" t="inlineStr">
        <is>
          <t>Citigroup Inc.</t>
        </is>
      </c>
      <c r="B90" t="inlineStr">
        <is>
          <t>#C</t>
        </is>
      </c>
      <c r="C90" t="n">
        <v>2</v>
      </c>
      <c r="D90" t="n">
        <v>1</v>
      </c>
      <c r="E90" t="n">
        <v>927.3</v>
      </c>
      <c r="F90" s="34" t="n">
        <v>0.005002</v>
      </c>
      <c r="G90" s="35" t="n">
        <v>0.19</v>
      </c>
      <c r="H90" s="35" t="n">
        <v>138.18</v>
      </c>
      <c r="I90" t="n">
        <v>5</v>
      </c>
      <c r="J90" t="n">
        <v>-5.1</v>
      </c>
      <c r="K90" t="n">
        <v>-5.1</v>
      </c>
      <c r="L90" t="n">
        <v>0.1</v>
      </c>
      <c r="M90" t="n">
        <v>0.1</v>
      </c>
      <c r="N90" t="inlineStr">
        <is>
          <t>CFD Acciones</t>
        </is>
      </c>
    </row>
    <row r="91">
      <c r="A91" t="inlineStr">
        <is>
          <t>Coca Cola Company</t>
        </is>
      </c>
      <c r="B91" t="inlineStr">
        <is>
          <t>#KO</t>
        </is>
      </c>
      <c r="C91" t="n">
        <v>2</v>
      </c>
      <c r="D91" t="n">
        <v>1</v>
      </c>
      <c r="E91" t="n">
        <v>927.3</v>
      </c>
      <c r="F91" s="34" t="n">
        <v>0.002501</v>
      </c>
      <c r="G91" s="35" t="n">
        <v>0.14</v>
      </c>
      <c r="H91" s="35" t="n">
        <v>88.13</v>
      </c>
      <c r="I91" t="n">
        <v>5</v>
      </c>
      <c r="J91" t="n">
        <v>-5.1</v>
      </c>
      <c r="K91" t="n">
        <v>-5.1</v>
      </c>
      <c r="L91" t="n">
        <v>0.1</v>
      </c>
      <c r="M91" t="n">
        <v>0.1</v>
      </c>
      <c r="N91" t="inlineStr">
        <is>
          <t>CFD Acciones</t>
        </is>
      </c>
    </row>
    <row r="92">
      <c r="A92" t="inlineStr">
        <is>
          <t>Coinbase Global Inc.</t>
        </is>
      </c>
      <c r="B92" t="inlineStr">
        <is>
          <t>#COIN</t>
        </is>
      </c>
      <c r="C92" t="n">
        <v>2</v>
      </c>
      <c r="D92" t="n">
        <v>1</v>
      </c>
      <c r="E92" t="n">
        <v>927.3</v>
      </c>
      <c r="F92" s="34" t="n">
        <v>0.017508</v>
      </c>
      <c r="G92" s="35" t="n">
        <v>0.2</v>
      </c>
      <c r="H92" s="35" t="n">
        <v>177.74</v>
      </c>
      <c r="I92" t="n">
        <v>5</v>
      </c>
      <c r="J92" t="n">
        <v>-5.1</v>
      </c>
      <c r="K92" t="n">
        <v>-5.1</v>
      </c>
      <c r="L92" t="n">
        <v>0.1</v>
      </c>
      <c r="M92" t="n">
        <v>0.1</v>
      </c>
      <c r="N92" t="inlineStr">
        <is>
          <t>CFD Acciones</t>
        </is>
      </c>
    </row>
    <row r="93">
      <c r="A93" t="inlineStr">
        <is>
          <t>Costco Wholesale Corp.</t>
        </is>
      </c>
      <c r="B93" t="inlineStr">
        <is>
          <t>#COST</t>
        </is>
      </c>
      <c r="C93" t="n">
        <v>2</v>
      </c>
      <c r="D93" t="n">
        <v>1</v>
      </c>
      <c r="E93" t="n">
        <v>927.3</v>
      </c>
      <c r="F93" s="34" t="n">
        <v>0.002501</v>
      </c>
      <c r="G93" s="35" t="n">
        <v>0.97</v>
      </c>
      <c r="H93" s="35" t="n">
        <v>900.29</v>
      </c>
      <c r="I93" t="n">
        <v>5</v>
      </c>
      <c r="J93" t="n">
        <v>-5.1</v>
      </c>
      <c r="K93" t="n">
        <v>-5.1</v>
      </c>
      <c r="L93" t="n">
        <v>0.1</v>
      </c>
      <c r="M93" t="n">
        <v>0.1</v>
      </c>
      <c r="N93" t="inlineStr">
        <is>
          <t>CFD Acciones</t>
        </is>
      </c>
    </row>
    <row r="94">
      <c r="A94" t="inlineStr">
        <is>
          <t>Credicorp Ltd (Peru)</t>
        </is>
      </c>
      <c r="B94" t="inlineStr">
        <is>
          <t>#ADR_BAP</t>
        </is>
      </c>
      <c r="C94" t="n">
        <v>2</v>
      </c>
      <c r="D94" t="n">
        <v>1</v>
      </c>
      <c r="E94" t="n">
        <v>927.3</v>
      </c>
      <c r="F94" s="34" t="n">
        <v>0.005002</v>
      </c>
      <c r="G94" s="35" t="n">
        <v>1.5</v>
      </c>
      <c r="H94" s="35" t="n">
        <v>376.72</v>
      </c>
      <c r="I94" t="n">
        <v>5</v>
      </c>
      <c r="J94" t="n">
        <v>-5.1</v>
      </c>
      <c r="K94" t="n">
        <v>-5.1</v>
      </c>
      <c r="L94" t="n">
        <v>0.1</v>
      </c>
      <c r="M94" t="n">
        <v>0.1</v>
      </c>
      <c r="N94" t="inlineStr">
        <is>
          <t>CFD Acciones</t>
        </is>
      </c>
    </row>
    <row r="95">
      <c r="A95" t="inlineStr">
        <is>
          <t>Deere &amp; Co.</t>
        </is>
      </c>
      <c r="B95" t="inlineStr">
        <is>
          <t>#DE</t>
        </is>
      </c>
      <c r="C95" t="n">
        <v>2</v>
      </c>
      <c r="D95" t="n">
        <v>1</v>
      </c>
      <c r="E95" t="n">
        <v>927.3</v>
      </c>
      <c r="F95" s="34" t="n">
        <v>0.005002</v>
      </c>
      <c r="G95" s="35" t="n">
        <v>0.77</v>
      </c>
      <c r="H95" s="35" t="n">
        <v>675.8200000000001</v>
      </c>
      <c r="I95" t="n">
        <v>5</v>
      </c>
      <c r="J95" t="n">
        <v>-5.1</v>
      </c>
      <c r="K95" t="n">
        <v>-5.1</v>
      </c>
      <c r="L95" t="n">
        <v>0.1</v>
      </c>
      <c r="M95" t="n">
        <v>0.1</v>
      </c>
      <c r="N95" t="inlineStr">
        <is>
          <t>CFD Acciones</t>
        </is>
      </c>
    </row>
    <row r="96">
      <c r="A96" t="inlineStr">
        <is>
          <t>Dell Technologies</t>
        </is>
      </c>
      <c r="B96" t="inlineStr">
        <is>
          <t>#DELL</t>
        </is>
      </c>
      <c r="C96" t="n">
        <v>2</v>
      </c>
      <c r="D96" t="n">
        <v>1</v>
      </c>
      <c r="E96" t="n">
        <v>927.3</v>
      </c>
      <c r="F96" s="34" t="n">
        <v>0.005002</v>
      </c>
      <c r="G96" s="35" t="n">
        <v>0.06</v>
      </c>
      <c r="H96" s="35" t="n">
        <v>540.23</v>
      </c>
      <c r="I96" t="n">
        <v>5</v>
      </c>
      <c r="J96" t="n">
        <v>-5.1</v>
      </c>
      <c r="K96" t="n">
        <v>-5.1</v>
      </c>
      <c r="L96" t="n">
        <v>0.1</v>
      </c>
      <c r="M96" t="n">
        <v>0.1</v>
      </c>
      <c r="N96" t="inlineStr">
        <is>
          <t>CFD Acciones</t>
        </is>
      </c>
    </row>
    <row r="97">
      <c r="A97" t="inlineStr">
        <is>
          <t>Delta Airlines Inc.</t>
        </is>
      </c>
      <c r="B97" t="inlineStr">
        <is>
          <t>#DAL</t>
        </is>
      </c>
      <c r="C97" t="n">
        <v>2</v>
      </c>
      <c r="D97" t="n">
        <v>1</v>
      </c>
      <c r="E97" t="n">
        <v>927.3</v>
      </c>
      <c r="F97" s="34" t="n">
        <v>0.005002</v>
      </c>
      <c r="G97" s="35" t="n">
        <v>0.11</v>
      </c>
      <c r="H97" s="35" t="n">
        <v>79.12</v>
      </c>
      <c r="I97" t="n">
        <v>5</v>
      </c>
      <c r="J97" t="n">
        <v>-5.1</v>
      </c>
      <c r="K97" t="n">
        <v>-5.1</v>
      </c>
      <c r="L97" t="n">
        <v>0.1</v>
      </c>
      <c r="M97" t="n">
        <v>0.1</v>
      </c>
      <c r="N97" t="inlineStr">
        <is>
          <t>CFD Acciones</t>
        </is>
      </c>
    </row>
    <row r="98">
      <c r="A98" t="inlineStr">
        <is>
          <t>Ebay Inc.</t>
        </is>
      </c>
      <c r="B98" t="inlineStr">
        <is>
          <t>#EBAY</t>
        </is>
      </c>
      <c r="C98" t="n">
        <v>2</v>
      </c>
      <c r="D98" t="n">
        <v>1</v>
      </c>
      <c r="E98" t="n">
        <v>927.3</v>
      </c>
      <c r="F98" s="34" t="n">
        <v>0.005002</v>
      </c>
      <c r="G98" s="35" t="n">
        <v>0.15</v>
      </c>
      <c r="H98" s="35" t="n">
        <v>104.83</v>
      </c>
      <c r="I98" t="n">
        <v>5</v>
      </c>
      <c r="J98" t="n">
        <v>-5.1</v>
      </c>
      <c r="K98" t="n">
        <v>-5.1</v>
      </c>
      <c r="L98" t="n">
        <v>0.1</v>
      </c>
      <c r="M98" t="n">
        <v>0.1</v>
      </c>
      <c r="N98" t="inlineStr">
        <is>
          <t>CFD Acciones</t>
        </is>
      </c>
    </row>
    <row r="99">
      <c r="A99" t="inlineStr">
        <is>
          <t>Electronic Arts Inc.</t>
        </is>
      </c>
      <c r="B99" t="inlineStr">
        <is>
          <t>#EA</t>
        </is>
      </c>
      <c r="C99" t="n">
        <v>2</v>
      </c>
      <c r="D99" t="n">
        <v>1</v>
      </c>
      <c r="E99" t="n">
        <v>927.3</v>
      </c>
      <c r="F99" s="34" t="n">
        <v>0.007503</v>
      </c>
      <c r="G99" s="35" t="n">
        <v>0.3</v>
      </c>
      <c r="H99" s="35" t="n">
        <v>209.97</v>
      </c>
      <c r="I99" t="n">
        <v>5</v>
      </c>
      <c r="J99" t="n">
        <v>-5.1</v>
      </c>
      <c r="K99" t="n">
        <v>-5.1</v>
      </c>
      <c r="L99" t="n">
        <v>0.1</v>
      </c>
      <c r="M99" t="n">
        <v>0.1</v>
      </c>
      <c r="N99" t="inlineStr">
        <is>
          <t>CFD Acciones</t>
        </is>
      </c>
    </row>
    <row r="100">
      <c r="A100" t="inlineStr">
        <is>
          <t>Exxon Mobil Corp.</t>
        </is>
      </c>
      <c r="B100" t="inlineStr">
        <is>
          <t>#XOM</t>
        </is>
      </c>
      <c r="C100" t="n">
        <v>2</v>
      </c>
      <c r="D100" t="n">
        <v>1</v>
      </c>
      <c r="E100" t="n">
        <v>927.3</v>
      </c>
      <c r="F100" s="34" t="n">
        <v>0.005002</v>
      </c>
      <c r="G100" s="35" t="n">
        <v>0.25</v>
      </c>
      <c r="H100" s="35" t="n">
        <v>165.03</v>
      </c>
      <c r="I100" t="n">
        <v>5</v>
      </c>
      <c r="J100" t="n">
        <v>-5.1</v>
      </c>
      <c r="K100" t="n">
        <v>-5.1</v>
      </c>
      <c r="L100" t="n">
        <v>0.1</v>
      </c>
      <c r="M100" t="n">
        <v>0.1</v>
      </c>
      <c r="N100" t="inlineStr">
        <is>
          <t>CFD Acciones</t>
        </is>
      </c>
    </row>
    <row r="101">
      <c r="A101" t="inlineStr">
        <is>
          <t>FedEx Corporation</t>
        </is>
      </c>
      <c r="B101" t="inlineStr">
        <is>
          <t>#FDX</t>
        </is>
      </c>
      <c r="C101" t="n">
        <v>2</v>
      </c>
      <c r="D101" t="n">
        <v>1</v>
      </c>
      <c r="E101" t="n">
        <v>927.3</v>
      </c>
      <c r="F101" s="34" t="n">
        <v>0.007503</v>
      </c>
      <c r="G101" s="35" t="n">
        <v>0.64</v>
      </c>
      <c r="H101" s="35" t="n">
        <v>309.51</v>
      </c>
      <c r="I101" t="n">
        <v>5</v>
      </c>
      <c r="J101" t="n">
        <v>-5.1</v>
      </c>
      <c r="K101" t="n">
        <v>-5.1</v>
      </c>
      <c r="L101" t="n">
        <v>0.1</v>
      </c>
      <c r="M101" t="n">
        <v>0.1</v>
      </c>
      <c r="N101" t="inlineStr">
        <is>
          <t>CFD Acciones</t>
        </is>
      </c>
    </row>
    <row r="102">
      <c r="A102" t="inlineStr">
        <is>
          <t>Ferrari NV</t>
        </is>
      </c>
      <c r="B102" t="inlineStr">
        <is>
          <t>#RACE</t>
        </is>
      </c>
      <c r="C102" t="n">
        <v>2</v>
      </c>
      <c r="D102" t="n">
        <v>1</v>
      </c>
      <c r="E102" t="n">
        <v>927.3</v>
      </c>
      <c r="F102" s="34" t="n">
        <v>0.005002</v>
      </c>
      <c r="G102" s="35" t="n">
        <v>0.6</v>
      </c>
      <c r="H102" s="35" t="n">
        <v>402.93</v>
      </c>
      <c r="I102" t="n">
        <v>5</v>
      </c>
      <c r="J102" t="n">
        <v>-5.1</v>
      </c>
      <c r="K102" t="n">
        <v>-5.1</v>
      </c>
      <c r="L102" t="n">
        <v>0.1</v>
      </c>
      <c r="M102" t="n">
        <v>0.1</v>
      </c>
      <c r="N102" t="inlineStr">
        <is>
          <t>CFD Acciones</t>
        </is>
      </c>
    </row>
    <row r="103">
      <c r="A103" t="inlineStr">
        <is>
          <t>First Solar Inc.</t>
        </is>
      </c>
      <c r="B103" t="inlineStr">
        <is>
          <t>#FSLR</t>
        </is>
      </c>
      <c r="C103" t="n">
        <v>2</v>
      </c>
      <c r="D103" t="n">
        <v>1</v>
      </c>
      <c r="E103" t="n">
        <v>927.3</v>
      </c>
      <c r="F103" s="34" t="n">
        <v>0.005002</v>
      </c>
      <c r="G103" s="35" t="n">
        <v>0.46</v>
      </c>
      <c r="H103" s="35" t="n">
        <v>204.99</v>
      </c>
      <c r="I103" t="n">
        <v>5</v>
      </c>
      <c r="J103" t="n">
        <v>-5.1</v>
      </c>
      <c r="K103" t="n">
        <v>-5.1</v>
      </c>
      <c r="L103" t="n">
        <v>0.1</v>
      </c>
      <c r="M103" t="n">
        <v>0.1</v>
      </c>
      <c r="N103" t="inlineStr">
        <is>
          <t>CFD Acciones</t>
        </is>
      </c>
    </row>
    <row r="104">
      <c r="A104" t="inlineStr">
        <is>
          <t>Ford Motor Co CFD</t>
        </is>
      </c>
      <c r="B104" t="inlineStr">
        <is>
          <t>#F</t>
        </is>
      </c>
      <c r="C104" t="n">
        <v>2</v>
      </c>
      <c r="D104" t="n">
        <v>1</v>
      </c>
      <c r="E104" t="n">
        <v>927.3</v>
      </c>
      <c r="F104" s="34" t="n">
        <v>0.005002</v>
      </c>
      <c r="G104" s="35" t="n">
        <v>0.08</v>
      </c>
      <c r="H104" s="35" t="n">
        <v>13.77</v>
      </c>
      <c r="I104" t="n">
        <v>5</v>
      </c>
      <c r="J104" t="n">
        <v>-5.1</v>
      </c>
      <c r="K104" t="n">
        <v>-5.1</v>
      </c>
      <c r="L104" t="n">
        <v>0.1</v>
      </c>
      <c r="M104" t="n">
        <v>0.1</v>
      </c>
      <c r="N104" t="inlineStr">
        <is>
          <t>CFD Acciones</t>
        </is>
      </c>
    </row>
    <row r="105">
      <c r="A105" t="inlineStr">
        <is>
          <t>GE Aerospace</t>
        </is>
      </c>
      <c r="B105" t="inlineStr">
        <is>
          <t>#GE</t>
        </is>
      </c>
      <c r="C105" t="n">
        <v>2</v>
      </c>
      <c r="D105" t="n">
        <v>1</v>
      </c>
      <c r="E105" t="n">
        <v>927.3</v>
      </c>
      <c r="F105" s="34" t="n">
        <v>0.002501</v>
      </c>
      <c r="G105" s="35" t="n">
        <v>0.21</v>
      </c>
      <c r="H105" s="35" t="n">
        <v>324.85</v>
      </c>
      <c r="I105" t="n">
        <v>5</v>
      </c>
      <c r="J105" t="n">
        <v>-5.1</v>
      </c>
      <c r="K105" t="n">
        <v>-5.1</v>
      </c>
      <c r="L105" t="n">
        <v>0.1</v>
      </c>
      <c r="M105" t="n">
        <v>0.1</v>
      </c>
      <c r="N105" t="inlineStr">
        <is>
          <t>CFD Acciones</t>
        </is>
      </c>
    </row>
    <row r="106">
      <c r="A106" t="inlineStr">
        <is>
          <t>General Motors Company</t>
        </is>
      </c>
      <c r="B106" t="inlineStr">
        <is>
          <t>#GM</t>
        </is>
      </c>
      <c r="C106" t="n">
        <v>2</v>
      </c>
      <c r="D106" t="n">
        <v>1</v>
      </c>
      <c r="E106" t="n">
        <v>927.3</v>
      </c>
      <c r="F106" s="34" t="n">
        <v>0.002501</v>
      </c>
      <c r="G106" s="35" t="n">
        <v>0.08</v>
      </c>
      <c r="H106" s="35" t="n">
        <v>84.93000000000001</v>
      </c>
      <c r="I106" t="n">
        <v>5</v>
      </c>
      <c r="J106" t="n">
        <v>-5.1</v>
      </c>
      <c r="K106" t="n">
        <v>-5.1</v>
      </c>
      <c r="L106" t="n">
        <v>0.1</v>
      </c>
      <c r="M106" t="n">
        <v>0.1</v>
      </c>
      <c r="N106" t="inlineStr">
        <is>
          <t>CFD Acciones</t>
        </is>
      </c>
    </row>
    <row r="107">
      <c r="A107" t="inlineStr">
        <is>
          <t>Goldman Sachs</t>
        </is>
      </c>
      <c r="B107" t="inlineStr">
        <is>
          <t>#GS</t>
        </is>
      </c>
      <c r="C107" t="n">
        <v>2</v>
      </c>
      <c r="D107" t="n">
        <v>1</v>
      </c>
      <c r="E107" t="n">
        <v>927.3</v>
      </c>
      <c r="F107" s="34" t="n">
        <v>0.002501</v>
      </c>
      <c r="G107" s="35" t="n">
        <v>0.7000000000000001</v>
      </c>
      <c r="H107" s="35" t="n">
        <v>1033.05</v>
      </c>
      <c r="I107" t="n">
        <v>5</v>
      </c>
      <c r="J107" t="n">
        <v>-5.1</v>
      </c>
      <c r="K107" t="n">
        <v>-5.1</v>
      </c>
      <c r="L107" t="n">
        <v>0.1</v>
      </c>
      <c r="M107" t="n">
        <v>0.1</v>
      </c>
      <c r="N107" t="inlineStr">
        <is>
          <t>CFD Acciones</t>
        </is>
      </c>
    </row>
    <row r="108">
      <c r="A108" t="inlineStr">
        <is>
          <t>Halliburton Co.</t>
        </is>
      </c>
      <c r="B108" t="inlineStr">
        <is>
          <t>#HAL</t>
        </is>
      </c>
      <c r="C108" t="n">
        <v>2</v>
      </c>
      <c r="D108" t="n">
        <v>1</v>
      </c>
      <c r="E108" t="n">
        <v>927.3</v>
      </c>
      <c r="F108" s="34" t="n">
        <v>0.002501</v>
      </c>
      <c r="G108" s="35" t="n">
        <v>0.09</v>
      </c>
      <c r="H108" s="35" t="n">
        <v>37.16</v>
      </c>
      <c r="I108" t="n">
        <v>5</v>
      </c>
      <c r="J108" t="n">
        <v>-5.1</v>
      </c>
      <c r="K108" t="n">
        <v>-5.1</v>
      </c>
      <c r="L108" t="n">
        <v>0.1</v>
      </c>
      <c r="M108" t="n">
        <v>0.1</v>
      </c>
      <c r="N108" t="inlineStr">
        <is>
          <t>CFD Acciones</t>
        </is>
      </c>
    </row>
    <row r="109">
      <c r="A109" t="inlineStr">
        <is>
          <t>Hewlett-Packard Co.</t>
        </is>
      </c>
      <c r="B109" t="inlineStr">
        <is>
          <t>#HPQ</t>
        </is>
      </c>
      <c r="C109" t="n">
        <v>2</v>
      </c>
      <c r="D109" t="n">
        <v>1</v>
      </c>
      <c r="E109" t="n">
        <v>927.3</v>
      </c>
      <c r="F109" s="34" t="n">
        <v>0.005002</v>
      </c>
      <c r="G109" s="35" t="n">
        <v>0.08</v>
      </c>
      <c r="H109" s="35" t="n">
        <v>32.07</v>
      </c>
      <c r="I109" t="n">
        <v>5</v>
      </c>
      <c r="J109" t="n">
        <v>-5.1</v>
      </c>
      <c r="K109" t="n">
        <v>-5.1</v>
      </c>
      <c r="L109" t="n">
        <v>0.1</v>
      </c>
      <c r="M109" t="n">
        <v>0.1</v>
      </c>
      <c r="N109" t="inlineStr">
        <is>
          <t>CFD Acciones</t>
        </is>
      </c>
    </row>
    <row r="110">
      <c r="A110" t="inlineStr">
        <is>
          <t>Illumina Inc.</t>
        </is>
      </c>
      <c r="B110" t="inlineStr">
        <is>
          <t>#ILMN</t>
        </is>
      </c>
      <c r="C110" t="n">
        <v>2</v>
      </c>
      <c r="D110" t="n">
        <v>1</v>
      </c>
      <c r="E110" t="n">
        <v>927.3</v>
      </c>
      <c r="F110" s="34" t="n">
        <v>0.005002</v>
      </c>
      <c r="G110" s="35" t="n">
        <v>1.6</v>
      </c>
      <c r="H110" s="35" t="n">
        <v>208.4</v>
      </c>
      <c r="I110" t="n">
        <v>5</v>
      </c>
      <c r="J110" t="n">
        <v>-5.1</v>
      </c>
      <c r="K110" t="n">
        <v>-5.1</v>
      </c>
      <c r="L110" t="n">
        <v>0.1</v>
      </c>
      <c r="M110" t="n">
        <v>0.1</v>
      </c>
      <c r="N110" t="inlineStr">
        <is>
          <t>CFD Acciones</t>
        </is>
      </c>
    </row>
    <row r="111">
      <c r="A111" t="inlineStr">
        <is>
          <t>Intel Corp.</t>
        </is>
      </c>
      <c r="B111" t="inlineStr">
        <is>
          <t>#INTC</t>
        </is>
      </c>
      <c r="C111" t="n">
        <v>2</v>
      </c>
      <c r="D111" t="n">
        <v>1</v>
      </c>
      <c r="E111" t="n">
        <v>927.3</v>
      </c>
      <c r="F111" s="34" t="n">
        <v>0.005002</v>
      </c>
      <c r="G111" s="35" t="n">
        <v>0.08</v>
      </c>
      <c r="H111" s="35" t="n">
        <v>106.01</v>
      </c>
      <c r="I111" t="n">
        <v>5</v>
      </c>
      <c r="J111" t="n">
        <v>-5.1</v>
      </c>
      <c r="K111" t="n">
        <v>-5.1</v>
      </c>
      <c r="L111" t="n">
        <v>0.1</v>
      </c>
      <c r="M111" t="n">
        <v>0.1</v>
      </c>
      <c r="N111" t="inlineStr">
        <is>
          <t>CFD Acciones</t>
        </is>
      </c>
    </row>
    <row r="112">
      <c r="A112" t="inlineStr">
        <is>
          <t>International Business Machines Corp.</t>
        </is>
      </c>
      <c r="B112" t="inlineStr">
        <is>
          <t>#IBM</t>
        </is>
      </c>
      <c r="C112" t="n">
        <v>2</v>
      </c>
      <c r="D112" t="n">
        <v>1</v>
      </c>
      <c r="E112" t="n">
        <v>927.3</v>
      </c>
      <c r="F112" s="34" t="n">
        <v>0.005002</v>
      </c>
      <c r="G112" s="35" t="n">
        <v>0.66</v>
      </c>
      <c r="H112" s="35" t="n">
        <v>238.26</v>
      </c>
      <c r="I112" t="n">
        <v>5</v>
      </c>
      <c r="J112" t="n">
        <v>-5.1</v>
      </c>
      <c r="K112" t="n">
        <v>-5.1</v>
      </c>
      <c r="L112" t="n">
        <v>0.1</v>
      </c>
      <c r="M112" t="n">
        <v>0.1</v>
      </c>
      <c r="N112" t="inlineStr">
        <is>
          <t>CFD Acciones</t>
        </is>
      </c>
    </row>
    <row r="113">
      <c r="A113" t="inlineStr">
        <is>
          <t>JPMorgan Chase</t>
        </is>
      </c>
      <c r="B113" t="inlineStr">
        <is>
          <t>#JPM</t>
        </is>
      </c>
      <c r="C113" t="n">
        <v>2</v>
      </c>
      <c r="D113" t="n">
        <v>1</v>
      </c>
      <c r="E113" t="n">
        <v>927.3</v>
      </c>
      <c r="F113" s="34" t="n">
        <v>0.002501</v>
      </c>
      <c r="G113" s="35" t="n">
        <v>0.25</v>
      </c>
      <c r="H113" s="35" t="n">
        <v>354.82</v>
      </c>
      <c r="I113" t="n">
        <v>5</v>
      </c>
      <c r="J113" t="n">
        <v>-5.1</v>
      </c>
      <c r="K113" t="n">
        <v>-5.1</v>
      </c>
      <c r="L113" t="n">
        <v>0.1</v>
      </c>
      <c r="M113" t="n">
        <v>0.1</v>
      </c>
      <c r="N113" t="inlineStr">
        <is>
          <t>CFD Acciones</t>
        </is>
      </c>
    </row>
    <row r="114">
      <c r="A114" t="inlineStr">
        <is>
          <t>Johnson &amp; Johnson</t>
        </is>
      </c>
      <c r="B114" t="inlineStr">
        <is>
          <t>#JNJ</t>
        </is>
      </c>
      <c r="C114" t="n">
        <v>2</v>
      </c>
      <c r="D114" t="n">
        <v>1</v>
      </c>
      <c r="E114" t="n">
        <v>927.3</v>
      </c>
      <c r="F114" s="34" t="n">
        <v>0.002501</v>
      </c>
      <c r="G114" s="35" t="n">
        <v>0.37</v>
      </c>
      <c r="H114" s="35" t="n">
        <v>268.83</v>
      </c>
      <c r="I114" t="n">
        <v>5</v>
      </c>
      <c r="J114" t="n">
        <v>-5.1</v>
      </c>
      <c r="K114" t="n">
        <v>-5.1</v>
      </c>
      <c r="L114" t="n">
        <v>0.1</v>
      </c>
      <c r="M114" t="n">
        <v>0.1</v>
      </c>
      <c r="N114" t="inlineStr">
        <is>
          <t>CFD Acciones</t>
        </is>
      </c>
    </row>
    <row r="115">
      <c r="A115" t="inlineStr">
        <is>
          <t>Lockheed Martin Corp.</t>
        </is>
      </c>
      <c r="B115" t="inlineStr">
        <is>
          <t>#LMT</t>
        </is>
      </c>
      <c r="C115" t="n">
        <v>2</v>
      </c>
      <c r="D115" t="n">
        <v>1</v>
      </c>
      <c r="E115" t="n">
        <v>927.3</v>
      </c>
      <c r="F115" s="34" t="n">
        <v>0.002501</v>
      </c>
      <c r="G115" s="35" t="n">
        <v>0.9500000000000001</v>
      </c>
      <c r="H115" s="35" t="n">
        <v>526.27</v>
      </c>
      <c r="I115" t="n">
        <v>5</v>
      </c>
      <c r="J115" t="n">
        <v>-5.1</v>
      </c>
      <c r="K115" t="n">
        <v>-5.1</v>
      </c>
      <c r="L115" t="n">
        <v>0.1</v>
      </c>
      <c r="M115" t="n">
        <v>0.1</v>
      </c>
      <c r="N115" t="inlineStr">
        <is>
          <t>CFD Acciones</t>
        </is>
      </c>
    </row>
    <row r="116">
      <c r="A116" t="inlineStr">
        <is>
          <t>Mastercard Inc.</t>
        </is>
      </c>
      <c r="B116" t="inlineStr">
        <is>
          <t>#MA</t>
        </is>
      </c>
      <c r="C116" t="n">
        <v>2</v>
      </c>
      <c r="D116" t="n">
        <v>1</v>
      </c>
      <c r="E116" t="n">
        <v>927.3</v>
      </c>
      <c r="F116" s="34" t="n">
        <v>0.002501</v>
      </c>
      <c r="G116" s="35" t="n">
        <v>0.85</v>
      </c>
      <c r="H116" s="35" t="n">
        <v>569.0599999999999</v>
      </c>
      <c r="I116" t="n">
        <v>5</v>
      </c>
      <c r="J116" t="n">
        <v>-5.1</v>
      </c>
      <c r="K116" t="n">
        <v>-5.1</v>
      </c>
      <c r="L116" t="n">
        <v>0.1</v>
      </c>
      <c r="M116" t="n">
        <v>0.1</v>
      </c>
      <c r="N116" t="inlineStr">
        <is>
          <t>CFD Acciones</t>
        </is>
      </c>
    </row>
    <row r="117">
      <c r="A117" t="inlineStr">
        <is>
          <t>McDonald's</t>
        </is>
      </c>
      <c r="B117" t="inlineStr">
        <is>
          <t>#MCD</t>
        </is>
      </c>
      <c r="C117" t="n">
        <v>2</v>
      </c>
      <c r="D117" t="n">
        <v>1</v>
      </c>
      <c r="E117" t="n">
        <v>927.3</v>
      </c>
      <c r="F117" s="34" t="n">
        <v>0.005002</v>
      </c>
      <c r="G117" s="35" t="n">
        <v>0.72</v>
      </c>
      <c r="H117" s="35" t="n">
        <v>255.77</v>
      </c>
      <c r="I117" t="n">
        <v>5</v>
      </c>
      <c r="J117" t="n">
        <v>-5.1</v>
      </c>
      <c r="K117" t="n">
        <v>-5.1</v>
      </c>
      <c r="L117" t="n">
        <v>0.1</v>
      </c>
      <c r="M117" t="n">
        <v>0.1</v>
      </c>
      <c r="N117" t="inlineStr">
        <is>
          <t>CFD Acciones</t>
        </is>
      </c>
    </row>
    <row r="118">
      <c r="A118" t="inlineStr">
        <is>
          <t>MercadoLibre Inc.</t>
        </is>
      </c>
      <c r="B118" t="inlineStr">
        <is>
          <t>#MELI</t>
        </is>
      </c>
      <c r="C118" t="n">
        <v>2</v>
      </c>
      <c r="D118" t="n">
        <v>1</v>
      </c>
      <c r="E118" t="n">
        <v>927.3</v>
      </c>
      <c r="F118" s="34" t="n">
        <v>0.005002</v>
      </c>
      <c r="G118" s="35" t="n">
        <v>7</v>
      </c>
      <c r="H118" s="35" t="n">
        <v>1876.66</v>
      </c>
      <c r="I118" t="n">
        <v>5</v>
      </c>
      <c r="J118" t="n">
        <v>-5.1</v>
      </c>
      <c r="K118" t="n">
        <v>-5.1</v>
      </c>
      <c r="L118" t="n">
        <v>0.1</v>
      </c>
      <c r="M118" t="n">
        <v>0.1</v>
      </c>
      <c r="N118" t="inlineStr">
        <is>
          <t>CFD Acciones</t>
        </is>
      </c>
    </row>
    <row r="119">
      <c r="A119" t="inlineStr">
        <is>
          <t>Meta Platforms Inc.</t>
        </is>
      </c>
      <c r="B119" t="inlineStr">
        <is>
          <t>#META</t>
        </is>
      </c>
      <c r="C119" t="n">
        <v>2</v>
      </c>
      <c r="D119" t="n">
        <v>1</v>
      </c>
      <c r="E119" t="n">
        <v>927.3</v>
      </c>
      <c r="F119" s="34" t="n">
        <v>0.005002</v>
      </c>
      <c r="G119" s="35" t="n">
        <v>0.64</v>
      </c>
      <c r="H119" s="35" t="n">
        <v>651.74</v>
      </c>
      <c r="I119" t="n">
        <v>5</v>
      </c>
      <c r="J119" t="n">
        <v>-5.1</v>
      </c>
      <c r="K119" t="n">
        <v>-5.1</v>
      </c>
      <c r="L119" t="n">
        <v>0.1</v>
      </c>
      <c r="M119" t="n">
        <v>0.1</v>
      </c>
      <c r="N119" t="inlineStr">
        <is>
          <t>CFD Acciones</t>
        </is>
      </c>
    </row>
    <row r="120">
      <c r="A120" t="inlineStr">
        <is>
          <t>MicroStrategy Inc.</t>
        </is>
      </c>
      <c r="B120" t="inlineStr">
        <is>
          <t>#MSTR</t>
        </is>
      </c>
      <c r="C120" t="n">
        <v>2</v>
      </c>
      <c r="D120" t="n">
        <v>1</v>
      </c>
      <c r="E120" t="n">
        <v>927.3</v>
      </c>
      <c r="F120" s="34" t="n">
        <v>0.005002</v>
      </c>
      <c r="G120" s="35" t="n">
        <v>0.8</v>
      </c>
      <c r="H120" s="35" t="n">
        <v>134.89</v>
      </c>
      <c r="I120" t="n">
        <v>5</v>
      </c>
      <c r="J120" t="n">
        <v>-5.1</v>
      </c>
      <c r="K120" t="n">
        <v>-5.1</v>
      </c>
      <c r="L120" t="n">
        <v>0.1</v>
      </c>
      <c r="M120" t="n">
        <v>0.1</v>
      </c>
      <c r="N120" t="inlineStr">
        <is>
          <t>CFD Acciones</t>
        </is>
      </c>
    </row>
    <row r="121">
      <c r="A121" t="inlineStr">
        <is>
          <t>Micron Technology Inc.</t>
        </is>
      </c>
      <c r="B121" t="inlineStr">
        <is>
          <t>#MU</t>
        </is>
      </c>
      <c r="C121" t="n">
        <v>2</v>
      </c>
      <c r="D121" t="n">
        <v>1</v>
      </c>
      <c r="E121" t="n">
        <v>927.3</v>
      </c>
      <c r="F121" s="34" t="n">
        <v>0.005002</v>
      </c>
      <c r="G121" s="35" t="n">
        <v>0.19</v>
      </c>
      <c r="H121" s="35" t="n">
        <v>1024.1</v>
      </c>
      <c r="I121" t="n">
        <v>5</v>
      </c>
      <c r="J121" t="n">
        <v>-5.1</v>
      </c>
      <c r="K121" t="n">
        <v>-5.1</v>
      </c>
      <c r="L121" t="n">
        <v>0.1</v>
      </c>
      <c r="M121" t="n">
        <v>0.1</v>
      </c>
      <c r="N121" t="inlineStr">
        <is>
          <t>CFD Acciones</t>
        </is>
      </c>
    </row>
    <row r="122">
      <c r="A122" t="inlineStr">
        <is>
          <t>Microsoft Corp.</t>
        </is>
      </c>
      <c r="B122" t="inlineStr">
        <is>
          <t>#MSFT</t>
        </is>
      </c>
      <c r="C122" t="n">
        <v>2</v>
      </c>
      <c r="D122" t="n">
        <v>1</v>
      </c>
      <c r="E122" t="n">
        <v>927.3</v>
      </c>
      <c r="F122" s="34" t="n">
        <v>0.005002</v>
      </c>
      <c r="G122" s="35" t="n">
        <v>0.6</v>
      </c>
      <c r="H122" s="35" t="n">
        <v>492.91</v>
      </c>
      <c r="I122" t="n">
        <v>5</v>
      </c>
      <c r="J122" t="n">
        <v>-5.1</v>
      </c>
      <c r="K122" t="n">
        <v>-5.1</v>
      </c>
      <c r="L122" t="n">
        <v>0.1</v>
      </c>
      <c r="M122" t="n">
        <v>0.1</v>
      </c>
      <c r="N122" t="inlineStr">
        <is>
          <t>CFD Acciones</t>
        </is>
      </c>
    </row>
    <row r="123">
      <c r="A123" t="inlineStr">
        <is>
          <t>Moderna Inc.</t>
        </is>
      </c>
      <c r="B123" t="inlineStr">
        <is>
          <t>#MRNA</t>
        </is>
      </c>
      <c r="C123" t="n">
        <v>2</v>
      </c>
      <c r="D123" t="n">
        <v>1</v>
      </c>
      <c r="E123" t="n">
        <v>927.3</v>
      </c>
      <c r="F123" s="34" t="n">
        <v>0.005002</v>
      </c>
      <c r="G123" s="35" t="n">
        <v>0.14</v>
      </c>
      <c r="H123" s="35" t="n">
        <v>137.75</v>
      </c>
      <c r="I123" t="n">
        <v>5</v>
      </c>
      <c r="J123" t="n">
        <v>-5.1</v>
      </c>
      <c r="K123" t="n">
        <v>-5.1</v>
      </c>
      <c r="L123" t="n">
        <v>0.1</v>
      </c>
      <c r="M123" t="n">
        <v>0.1</v>
      </c>
      <c r="N123" t="inlineStr">
        <is>
          <t>CFD Acciones</t>
        </is>
      </c>
    </row>
    <row r="124">
      <c r="A124" t="inlineStr">
        <is>
          <t>Morgan Stanley</t>
        </is>
      </c>
      <c r="B124" t="inlineStr">
        <is>
          <t>#MS</t>
        </is>
      </c>
      <c r="C124" t="n">
        <v>2</v>
      </c>
      <c r="D124" t="n">
        <v>1</v>
      </c>
      <c r="E124" t="n">
        <v>927.3</v>
      </c>
      <c r="F124" s="34" t="n">
        <v>0.005002</v>
      </c>
      <c r="G124" s="35" t="n">
        <v>0.11</v>
      </c>
      <c r="H124" s="35" t="n">
        <v>215.78</v>
      </c>
      <c r="I124" t="n">
        <v>5</v>
      </c>
      <c r="J124" t="n">
        <v>-5.1</v>
      </c>
      <c r="K124" t="n">
        <v>-5.1</v>
      </c>
      <c r="L124" t="n">
        <v>0.1</v>
      </c>
      <c r="M124" t="n">
        <v>0.1</v>
      </c>
      <c r="N124" t="inlineStr">
        <is>
          <t>CFD Acciones</t>
        </is>
      </c>
    </row>
    <row r="125">
      <c r="A125" t="inlineStr">
        <is>
          <t>NIO Limited</t>
        </is>
      </c>
      <c r="B125" t="inlineStr">
        <is>
          <t>#NIO</t>
        </is>
      </c>
      <c r="C125" t="n">
        <v>2</v>
      </c>
      <c r="D125" t="n">
        <v>1</v>
      </c>
      <c r="E125" t="n">
        <v>927.3</v>
      </c>
      <c r="F125" s="34" t="n">
        <v>0.017507</v>
      </c>
      <c r="G125" s="35" t="n">
        <v>0.07000000000000001</v>
      </c>
      <c r="H125" s="35" t="n">
        <v>3.75</v>
      </c>
      <c r="I125" t="n">
        <v>5</v>
      </c>
      <c r="J125" t="n">
        <v>-5.1</v>
      </c>
      <c r="K125" t="n">
        <v>-5.1</v>
      </c>
      <c r="L125" t="n">
        <v>0.1</v>
      </c>
      <c r="M125" t="n">
        <v>0.1</v>
      </c>
      <c r="N125" t="inlineStr">
        <is>
          <t>CFD Acciones</t>
        </is>
      </c>
    </row>
    <row r="126">
      <c r="A126" t="inlineStr">
        <is>
          <t>NVIDIA Corp.</t>
        </is>
      </c>
      <c r="B126" t="inlineStr">
        <is>
          <t>#NVDA</t>
        </is>
      </c>
      <c r="C126" t="n">
        <v>2</v>
      </c>
      <c r="D126" t="n">
        <v>1</v>
      </c>
      <c r="E126" t="n">
        <v>927.3</v>
      </c>
      <c r="F126" s="34" t="n">
        <v>0.005002</v>
      </c>
      <c r="G126" s="35" t="n">
        <v>0.9</v>
      </c>
      <c r="H126" s="35" t="n">
        <v>224.54</v>
      </c>
      <c r="I126" t="n">
        <v>5</v>
      </c>
      <c r="J126" t="n">
        <v>-5.1</v>
      </c>
      <c r="K126" t="n">
        <v>-5.1</v>
      </c>
      <c r="L126" t="n">
        <v>0.1</v>
      </c>
      <c r="M126" t="n">
        <v>0.1</v>
      </c>
      <c r="N126" t="inlineStr">
        <is>
          <t>CFD Acciones</t>
        </is>
      </c>
    </row>
    <row r="127">
      <c r="A127" t="inlineStr">
        <is>
          <t>Netflix Inc.</t>
        </is>
      </c>
      <c r="B127" t="inlineStr">
        <is>
          <t>#NFLX</t>
        </is>
      </c>
      <c r="C127" t="n">
        <v>2</v>
      </c>
      <c r="D127" t="n">
        <v>1</v>
      </c>
      <c r="E127" t="n">
        <v>927.3</v>
      </c>
      <c r="F127" s="34" t="n">
        <v>0.005002</v>
      </c>
      <c r="G127" s="35" t="n">
        <v>0.9500000000000001</v>
      </c>
      <c r="H127" s="35" t="n">
        <v>76.70999999999999</v>
      </c>
      <c r="I127" t="n">
        <v>5</v>
      </c>
      <c r="J127" t="n">
        <v>-5.1</v>
      </c>
      <c r="K127" t="n">
        <v>-5.1</v>
      </c>
      <c r="L127" t="n">
        <v>0.1</v>
      </c>
      <c r="M127" t="n">
        <v>0.1</v>
      </c>
      <c r="N127" t="inlineStr">
        <is>
          <t>CFD Acciones</t>
        </is>
      </c>
    </row>
    <row r="128">
      <c r="A128" t="inlineStr">
        <is>
          <t>Nike Inc.</t>
        </is>
      </c>
      <c r="B128" t="inlineStr">
        <is>
          <t>#NKE</t>
        </is>
      </c>
      <c r="C128" t="n">
        <v>2</v>
      </c>
      <c r="D128" t="n">
        <v>1</v>
      </c>
      <c r="E128" t="n">
        <v>927.3</v>
      </c>
      <c r="F128" s="34" t="n">
        <v>0.002501</v>
      </c>
      <c r="G128" s="35" t="n">
        <v>0.35</v>
      </c>
      <c r="H128" s="35" t="n">
        <v>37.51</v>
      </c>
      <c r="I128" t="n">
        <v>5</v>
      </c>
      <c r="J128" t="n">
        <v>-5.1</v>
      </c>
      <c r="K128" t="n">
        <v>-5.1</v>
      </c>
      <c r="L128" t="n">
        <v>0.1</v>
      </c>
      <c r="M128" t="n">
        <v>0.1</v>
      </c>
      <c r="N128" t="inlineStr">
        <is>
          <t>CFD Acciones</t>
        </is>
      </c>
    </row>
    <row r="129">
      <c r="A129" t="inlineStr">
        <is>
          <t>Oracle Corp.</t>
        </is>
      </c>
      <c r="B129" t="inlineStr">
        <is>
          <t>#ORCL</t>
        </is>
      </c>
      <c r="C129" t="n">
        <v>2</v>
      </c>
      <c r="D129" t="n">
        <v>1</v>
      </c>
      <c r="E129" t="n">
        <v>927.3</v>
      </c>
      <c r="F129" s="34" t="n">
        <v>0.002501</v>
      </c>
      <c r="G129" s="35" t="n">
        <v>0.17</v>
      </c>
      <c r="H129" s="35" t="n">
        <v>163.79</v>
      </c>
      <c r="I129" t="n">
        <v>5</v>
      </c>
      <c r="J129" t="n">
        <v>-5.1</v>
      </c>
      <c r="K129" t="n">
        <v>-5.1</v>
      </c>
      <c r="L129" t="n">
        <v>0.1</v>
      </c>
      <c r="M129" t="n">
        <v>0.1</v>
      </c>
      <c r="N129" t="inlineStr">
        <is>
          <t>CFD Acciones</t>
        </is>
      </c>
    </row>
    <row r="130">
      <c r="A130" t="inlineStr">
        <is>
          <t>Palantir Technologies Inc.</t>
        </is>
      </c>
      <c r="B130" t="inlineStr">
        <is>
          <t>#PLTR</t>
        </is>
      </c>
      <c r="C130" t="n">
        <v>2</v>
      </c>
      <c r="D130" t="n">
        <v>1</v>
      </c>
      <c r="E130" t="n">
        <v>927.3</v>
      </c>
      <c r="F130" s="34" t="n">
        <v>0.005002</v>
      </c>
      <c r="G130" s="35" t="n">
        <v>0.19</v>
      </c>
      <c r="H130" s="35" t="n">
        <v>170.71</v>
      </c>
      <c r="I130" t="n">
        <v>5</v>
      </c>
      <c r="J130" t="n">
        <v>-5.1</v>
      </c>
      <c r="K130" t="n">
        <v>-5.1</v>
      </c>
      <c r="L130" t="n">
        <v>0.1</v>
      </c>
      <c r="M130" t="n">
        <v>0.1</v>
      </c>
      <c r="N130" t="inlineStr">
        <is>
          <t>CFD Acciones</t>
        </is>
      </c>
    </row>
    <row r="131">
      <c r="A131" t="inlineStr">
        <is>
          <t>Pfizer Inc.</t>
        </is>
      </c>
      <c r="B131" t="inlineStr">
        <is>
          <t>#PFE</t>
        </is>
      </c>
      <c r="C131" t="n">
        <v>2</v>
      </c>
      <c r="D131" t="n">
        <v>1</v>
      </c>
      <c r="E131" t="n">
        <v>927.3</v>
      </c>
      <c r="F131" s="34" t="n">
        <v>0.005002</v>
      </c>
      <c r="G131" s="35" t="n">
        <v>0.08</v>
      </c>
      <c r="H131" s="35" t="n">
        <v>27.94</v>
      </c>
      <c r="I131" t="n">
        <v>5</v>
      </c>
      <c r="J131" t="n">
        <v>-5.1</v>
      </c>
      <c r="K131" t="n">
        <v>-5.1</v>
      </c>
      <c r="L131" t="n">
        <v>0.1</v>
      </c>
      <c r="M131" t="n">
        <v>0.1</v>
      </c>
      <c r="N131" t="inlineStr">
        <is>
          <t>CFD Acciones</t>
        </is>
      </c>
    </row>
    <row r="132">
      <c r="A132" t="inlineStr">
        <is>
          <t>Procter &amp; Gamble</t>
        </is>
      </c>
      <c r="B132" t="inlineStr">
        <is>
          <t>#PG</t>
        </is>
      </c>
      <c r="C132" t="n">
        <v>2</v>
      </c>
      <c r="D132" t="n">
        <v>1</v>
      </c>
      <c r="E132" t="n">
        <v>927.3</v>
      </c>
      <c r="F132" s="34" t="n">
        <v>0.002501</v>
      </c>
      <c r="G132" s="35" t="n">
        <v>0.31</v>
      </c>
      <c r="H132" s="35" t="n">
        <v>142.88</v>
      </c>
      <c r="I132" t="n">
        <v>5</v>
      </c>
      <c r="J132" t="n">
        <v>-5.1</v>
      </c>
      <c r="K132" t="n">
        <v>-5.1</v>
      </c>
      <c r="L132" t="n">
        <v>0.1</v>
      </c>
      <c r="M132" t="n">
        <v>0.1</v>
      </c>
      <c r="N132" t="inlineStr">
        <is>
          <t>CFD Acciones</t>
        </is>
      </c>
    </row>
    <row r="133">
      <c r="A133" t="inlineStr">
        <is>
          <t>Qualcomm Inc.</t>
        </is>
      </c>
      <c r="B133" t="inlineStr">
        <is>
          <t>#QCOM</t>
        </is>
      </c>
      <c r="C133" t="n">
        <v>2</v>
      </c>
      <c r="D133" t="n">
        <v>1</v>
      </c>
      <c r="E133" t="n">
        <v>927.3</v>
      </c>
      <c r="F133" s="34" t="n">
        <v>0.002501</v>
      </c>
      <c r="G133" s="35" t="n">
        <v>0.3</v>
      </c>
      <c r="H133" s="35" t="n">
        <v>176.29</v>
      </c>
      <c r="I133" t="n">
        <v>5</v>
      </c>
      <c r="J133" t="n">
        <v>-5.1</v>
      </c>
      <c r="K133" t="n">
        <v>-5.1</v>
      </c>
      <c r="L133" t="n">
        <v>0.1</v>
      </c>
      <c r="M133" t="n">
        <v>0.1</v>
      </c>
      <c r="N133" t="inlineStr">
        <is>
          <t>CFD Acciones</t>
        </is>
      </c>
    </row>
    <row r="134">
      <c r="A134" t="inlineStr">
        <is>
          <t>Salesforce.com Inc.</t>
        </is>
      </c>
      <c r="B134" t="inlineStr">
        <is>
          <t>#CRM</t>
        </is>
      </c>
      <c r="C134" t="n">
        <v>2</v>
      </c>
      <c r="D134" t="n">
        <v>1</v>
      </c>
      <c r="E134" t="n">
        <v>927.3</v>
      </c>
      <c r="F134" s="34" t="n">
        <v>0.002501</v>
      </c>
      <c r="G134" s="35" t="n">
        <v>0.47</v>
      </c>
      <c r="H134" s="35" t="n">
        <v>246.75</v>
      </c>
      <c r="I134" t="n">
        <v>5</v>
      </c>
      <c r="J134" t="n">
        <v>-5.1</v>
      </c>
      <c r="K134" t="n">
        <v>-5.1</v>
      </c>
      <c r="L134" t="n">
        <v>0.1</v>
      </c>
      <c r="M134" t="n">
        <v>0.1</v>
      </c>
      <c r="N134" t="inlineStr">
        <is>
          <t>CFD Acciones</t>
        </is>
      </c>
    </row>
    <row r="135">
      <c r="A135" t="inlineStr">
        <is>
          <t>Simon Property Group Inc.</t>
        </is>
      </c>
      <c r="B135" t="inlineStr">
        <is>
          <t>#SPG</t>
        </is>
      </c>
      <c r="C135" t="n">
        <v>2</v>
      </c>
      <c r="D135" t="n">
        <v>1</v>
      </c>
      <c r="E135" t="n">
        <v>927.3</v>
      </c>
      <c r="F135" s="34" t="n">
        <v>0.005002</v>
      </c>
      <c r="G135" s="35" t="n">
        <v>0.45</v>
      </c>
      <c r="H135" s="35" t="n">
        <v>206.22</v>
      </c>
      <c r="I135" t="n">
        <v>5</v>
      </c>
      <c r="J135" t="n">
        <v>-5.1</v>
      </c>
      <c r="K135" t="n">
        <v>-5.1</v>
      </c>
      <c r="L135" t="n">
        <v>0.1</v>
      </c>
      <c r="M135" t="n">
        <v>0.1</v>
      </c>
      <c r="N135" t="inlineStr">
        <is>
          <t>CFD Acciones</t>
        </is>
      </c>
    </row>
    <row r="136">
      <c r="A136" t="inlineStr">
        <is>
          <t>Space Exploration Technologies Corp.</t>
        </is>
      </c>
      <c r="B136" t="inlineStr">
        <is>
          <t>#SPCX</t>
        </is>
      </c>
      <c r="C136" t="n">
        <v>2</v>
      </c>
      <c r="D136" t="n">
        <v>50</v>
      </c>
      <c r="E136" t="n">
        <v>46365</v>
      </c>
      <c r="F136" s="34" t="n">
        <v>0.020009</v>
      </c>
      <c r="G136" s="35" t="n">
        <v>0.23</v>
      </c>
      <c r="H136" s="35" t="n">
        <v>148.55</v>
      </c>
      <c r="I136" t="n">
        <v>5</v>
      </c>
      <c r="J136" t="n">
        <v>-5.1</v>
      </c>
      <c r="K136" t="n">
        <v>-5.1</v>
      </c>
      <c r="L136" t="n">
        <v>0.01</v>
      </c>
      <c r="M136" t="n">
        <v>0.01</v>
      </c>
      <c r="N136" t="inlineStr">
        <is>
          <t>CFD Acciones</t>
        </is>
      </c>
    </row>
    <row r="137">
      <c r="A137" t="inlineStr">
        <is>
          <t>Starbucks Corp.</t>
        </is>
      </c>
      <c r="B137" t="inlineStr">
        <is>
          <t>#SBUX</t>
        </is>
      </c>
      <c r="C137" t="n">
        <v>2</v>
      </c>
      <c r="D137" t="n">
        <v>1</v>
      </c>
      <c r="E137" t="n">
        <v>927.3</v>
      </c>
      <c r="F137" s="34" t="n">
        <v>0.002501</v>
      </c>
      <c r="G137" s="35" t="n">
        <v>0.15</v>
      </c>
      <c r="H137" s="35" t="n">
        <v>101.1</v>
      </c>
      <c r="I137" t="n">
        <v>5</v>
      </c>
      <c r="J137" t="n">
        <v>-5.1</v>
      </c>
      <c r="K137" t="n">
        <v>-5.1</v>
      </c>
      <c r="L137" t="n">
        <v>0.1</v>
      </c>
      <c r="M137" t="n">
        <v>0.1</v>
      </c>
      <c r="N137" t="inlineStr">
        <is>
          <t>CFD Acciones</t>
        </is>
      </c>
    </row>
    <row r="138">
      <c r="A138" t="inlineStr">
        <is>
          <t>Synopsys Inc.</t>
        </is>
      </c>
      <c r="B138" t="inlineStr">
        <is>
          <t>#SNPS</t>
        </is>
      </c>
      <c r="C138" t="n">
        <v>2</v>
      </c>
      <c r="D138" t="n">
        <v>1</v>
      </c>
      <c r="E138" t="n">
        <v>927.3</v>
      </c>
      <c r="F138" s="34" t="n">
        <v>0.005002</v>
      </c>
      <c r="G138" s="35" t="n">
        <v>0.65</v>
      </c>
      <c r="H138" s="35" t="n">
        <v>397.21</v>
      </c>
      <c r="I138" t="n">
        <v>5</v>
      </c>
      <c r="J138" t="n">
        <v>-5.1</v>
      </c>
      <c r="K138" t="n">
        <v>-5.1</v>
      </c>
      <c r="L138" t="n">
        <v>0.1</v>
      </c>
      <c r="M138" t="n">
        <v>0.1</v>
      </c>
      <c r="N138" t="inlineStr">
        <is>
          <t>CFD Acciones</t>
        </is>
      </c>
    </row>
    <row r="139">
      <c r="A139" t="inlineStr">
        <is>
          <t>Target Corp.</t>
        </is>
      </c>
      <c r="B139" t="inlineStr">
        <is>
          <t>#TGT</t>
        </is>
      </c>
      <c r="C139" t="n">
        <v>2</v>
      </c>
      <c r="D139" t="n">
        <v>1</v>
      </c>
      <c r="E139" t="n">
        <v>927.3</v>
      </c>
      <c r="F139" s="34" t="n">
        <v>0.002501</v>
      </c>
      <c r="G139" s="35" t="n">
        <v>0.59</v>
      </c>
      <c r="H139" s="35" t="n">
        <v>159.73</v>
      </c>
      <c r="I139" t="n">
        <v>5</v>
      </c>
      <c r="J139" t="n">
        <v>-5.1</v>
      </c>
      <c r="K139" t="n">
        <v>-5.1</v>
      </c>
      <c r="L139" t="n">
        <v>0.1</v>
      </c>
      <c r="M139" t="n">
        <v>0.1</v>
      </c>
      <c r="N139" t="inlineStr">
        <is>
          <t>CFD Acciones</t>
        </is>
      </c>
    </row>
    <row r="140">
      <c r="A140" t="inlineStr">
        <is>
          <t>Tesla Motors Inc.</t>
        </is>
      </c>
      <c r="B140" t="inlineStr">
        <is>
          <t>#TSLA</t>
        </is>
      </c>
      <c r="C140" t="n">
        <v>2</v>
      </c>
      <c r="D140" t="n">
        <v>1</v>
      </c>
      <c r="E140" t="n">
        <v>927.3</v>
      </c>
      <c r="F140" s="34" t="n">
        <v>0.010004</v>
      </c>
      <c r="G140" s="35" t="n">
        <v>0.3</v>
      </c>
      <c r="H140" s="35" t="n">
        <v>368.49</v>
      </c>
      <c r="I140" t="n">
        <v>5</v>
      </c>
      <c r="J140" t="n">
        <v>-5.1</v>
      </c>
      <c r="K140" t="n">
        <v>-5.1</v>
      </c>
      <c r="L140" t="n">
        <v>0.1</v>
      </c>
      <c r="M140" t="n">
        <v>0.1</v>
      </c>
      <c r="N140" t="inlineStr">
        <is>
          <t>CFD Acciones</t>
        </is>
      </c>
    </row>
    <row r="141">
      <c r="A141" t="inlineStr">
        <is>
          <t>The Bank of New York Mellon Corp.</t>
        </is>
      </c>
      <c r="B141" t="inlineStr">
        <is>
          <t>#BK</t>
        </is>
      </c>
      <c r="C141" t="n">
        <v>2</v>
      </c>
      <c r="D141" t="n">
        <v>1</v>
      </c>
      <c r="E141" t="n">
        <v>927.3</v>
      </c>
      <c r="F141" s="34" t="n">
        <v>0.005002</v>
      </c>
      <c r="G141" s="35" t="n">
        <v>0.3</v>
      </c>
      <c r="H141" s="35" t="n">
        <v>137.19</v>
      </c>
      <c r="I141" t="n">
        <v>5</v>
      </c>
      <c r="J141" t="n">
        <v>-5.1</v>
      </c>
      <c r="K141" t="n">
        <v>-5.1</v>
      </c>
      <c r="L141" t="n">
        <v>0.1</v>
      </c>
      <c r="M141" t="n">
        <v>0.1</v>
      </c>
      <c r="N141" t="inlineStr">
        <is>
          <t>CFD Acciones</t>
        </is>
      </c>
    </row>
    <row r="142">
      <c r="A142" t="inlineStr">
        <is>
          <t>The Clorox Company</t>
        </is>
      </c>
      <c r="B142" t="inlineStr">
        <is>
          <t>#CLX</t>
        </is>
      </c>
      <c r="C142" t="n">
        <v>2</v>
      </c>
      <c r="D142" t="n">
        <v>1</v>
      </c>
      <c r="E142" t="n">
        <v>927.3</v>
      </c>
      <c r="F142" s="34" t="n">
        <v>0.005002</v>
      </c>
      <c r="G142" s="35" t="n">
        <v>0.35</v>
      </c>
      <c r="H142" s="35" t="n">
        <v>90.16</v>
      </c>
      <c r="I142" t="n">
        <v>5</v>
      </c>
      <c r="J142" t="n">
        <v>-5.1</v>
      </c>
      <c r="K142" t="n">
        <v>-5.1</v>
      </c>
      <c r="L142" t="n">
        <v>0.1</v>
      </c>
      <c r="M142" t="n">
        <v>0.1</v>
      </c>
      <c r="N142" t="inlineStr">
        <is>
          <t>CFD Acciones</t>
        </is>
      </c>
    </row>
    <row r="143">
      <c r="A143" t="inlineStr">
        <is>
          <t>The Home Depot Inc.</t>
        </is>
      </c>
      <c r="B143" t="inlineStr">
        <is>
          <t>#HD</t>
        </is>
      </c>
      <c r="C143" t="n">
        <v>2</v>
      </c>
      <c r="D143" t="n">
        <v>1</v>
      </c>
      <c r="E143" t="n">
        <v>927.3</v>
      </c>
      <c r="F143" s="34" t="n">
        <v>0.002501</v>
      </c>
      <c r="G143" s="35" t="n">
        <v>0.8</v>
      </c>
      <c r="H143" s="35" t="n">
        <v>311.88</v>
      </c>
      <c r="I143" t="n">
        <v>5</v>
      </c>
      <c r="J143" t="n">
        <v>-5.1</v>
      </c>
      <c r="K143" t="n">
        <v>-5.1</v>
      </c>
      <c r="L143" t="n">
        <v>0.1</v>
      </c>
      <c r="M143" t="n">
        <v>0.1</v>
      </c>
      <c r="N143" t="inlineStr">
        <is>
          <t>CFD Acciones</t>
        </is>
      </c>
    </row>
    <row r="144">
      <c r="A144" t="inlineStr">
        <is>
          <t>Tilray Inc.</t>
        </is>
      </c>
      <c r="B144" t="inlineStr">
        <is>
          <t>#TLRY</t>
        </is>
      </c>
      <c r="C144" t="n">
        <v>2</v>
      </c>
      <c r="D144" t="n">
        <v>1</v>
      </c>
      <c r="E144" t="n">
        <v>927.3</v>
      </c>
      <c r="F144" s="34" t="n">
        <v>0.005003</v>
      </c>
      <c r="G144" s="35" t="n">
        <v>0.05</v>
      </c>
      <c r="H144" s="35" t="n">
        <v>4.27</v>
      </c>
      <c r="I144" t="n">
        <v>5</v>
      </c>
      <c r="J144" t="n">
        <v>-5.1</v>
      </c>
      <c r="K144" t="n">
        <v>-5.1</v>
      </c>
      <c r="L144" t="n">
        <v>0.1</v>
      </c>
      <c r="M144" t="n">
        <v>0.1</v>
      </c>
      <c r="N144" t="inlineStr">
        <is>
          <t>CFD Acciones</t>
        </is>
      </c>
    </row>
    <row r="145">
      <c r="A145" t="inlineStr">
        <is>
          <t>Uber Technologies Inc.</t>
        </is>
      </c>
      <c r="B145" t="inlineStr">
        <is>
          <t>#UBER</t>
        </is>
      </c>
      <c r="C145" t="n">
        <v>2</v>
      </c>
      <c r="D145" t="n">
        <v>1</v>
      </c>
      <c r="E145" t="n">
        <v>927.3</v>
      </c>
      <c r="F145" s="34" t="n">
        <v>0.010004</v>
      </c>
      <c r="G145" s="35" t="n">
        <v>0.17</v>
      </c>
      <c r="H145" s="35" t="n">
        <v>71.5</v>
      </c>
      <c r="I145" t="n">
        <v>5</v>
      </c>
      <c r="J145" t="n">
        <v>-5.1</v>
      </c>
      <c r="K145" t="n">
        <v>-5.1</v>
      </c>
      <c r="L145" t="n">
        <v>0.1</v>
      </c>
      <c r="M145" t="n">
        <v>0.1</v>
      </c>
      <c r="N145" t="inlineStr">
        <is>
          <t>CFD Acciones</t>
        </is>
      </c>
    </row>
    <row r="146">
      <c r="A146" t="inlineStr">
        <is>
          <t>Vale SA (Brasil)</t>
        </is>
      </c>
      <c r="B146" t="inlineStr">
        <is>
          <t>#ADR_VALE</t>
        </is>
      </c>
      <c r="C146" t="n">
        <v>2</v>
      </c>
      <c r="D146" t="n">
        <v>1</v>
      </c>
      <c r="E146" t="n">
        <v>927.3</v>
      </c>
      <c r="F146" s="34" t="n">
        <v>0.005002</v>
      </c>
      <c r="G146" s="35" t="n">
        <v>0.09</v>
      </c>
      <c r="H146" s="35" t="n">
        <v>15.44</v>
      </c>
      <c r="I146" t="n">
        <v>5</v>
      </c>
      <c r="J146" t="n">
        <v>-5.1</v>
      </c>
      <c r="K146" t="n">
        <v>-5.1</v>
      </c>
      <c r="L146" t="n">
        <v>0.1</v>
      </c>
      <c r="M146" t="n">
        <v>0.1</v>
      </c>
      <c r="N146" t="inlineStr">
        <is>
          <t>CFD Acciones</t>
        </is>
      </c>
    </row>
    <row r="147">
      <c r="A147" t="inlineStr">
        <is>
          <t>Visa Inc.</t>
        </is>
      </c>
      <c r="B147" t="inlineStr">
        <is>
          <t>#V</t>
        </is>
      </c>
      <c r="C147" t="n">
        <v>2</v>
      </c>
      <c r="D147" t="n">
        <v>1</v>
      </c>
      <c r="E147" t="n">
        <v>927.3</v>
      </c>
      <c r="F147" s="34" t="n">
        <v>0.002501</v>
      </c>
      <c r="G147" s="35" t="n">
        <v>0.37</v>
      </c>
      <c r="H147" s="35" t="n">
        <v>367.81</v>
      </c>
      <c r="I147" t="n">
        <v>5</v>
      </c>
      <c r="J147" t="n">
        <v>-5.1</v>
      </c>
      <c r="K147" t="n">
        <v>-5.1</v>
      </c>
      <c r="L147" t="n">
        <v>0.1</v>
      </c>
      <c r="M147" t="n">
        <v>0.1</v>
      </c>
      <c r="N147" t="inlineStr">
        <is>
          <t>CFD Acciones</t>
        </is>
      </c>
    </row>
    <row r="148">
      <c r="A148" t="inlineStr">
        <is>
          <t>Walmart Stores</t>
        </is>
      </c>
      <c r="B148" t="inlineStr">
        <is>
          <t>#WMT</t>
        </is>
      </c>
      <c r="C148" t="n">
        <v>2</v>
      </c>
      <c r="D148" t="n">
        <v>1</v>
      </c>
      <c r="E148" t="n">
        <v>927.3</v>
      </c>
      <c r="F148" s="34" t="n">
        <v>0.002501</v>
      </c>
      <c r="G148" s="35" t="n">
        <v>0.28</v>
      </c>
      <c r="H148" s="35" t="n">
        <v>106.1</v>
      </c>
      <c r="I148" t="n">
        <v>5</v>
      </c>
      <c r="J148" t="n">
        <v>-5.1</v>
      </c>
      <c r="K148" t="n">
        <v>-5.1</v>
      </c>
      <c r="L148" t="n">
        <v>0.1</v>
      </c>
      <c r="M148" t="n">
        <v>0.1</v>
      </c>
      <c r="N148" t="inlineStr">
        <is>
          <t>CFD Acciones</t>
        </is>
      </c>
    </row>
    <row r="149">
      <c r="A149" t="inlineStr">
        <is>
          <t>Walt Disney Co.</t>
        </is>
      </c>
      <c r="B149" t="inlineStr">
        <is>
          <t>#DIS</t>
        </is>
      </c>
      <c r="C149" t="n">
        <v>2</v>
      </c>
      <c r="D149" t="n">
        <v>1</v>
      </c>
      <c r="E149" t="n">
        <v>927.3</v>
      </c>
      <c r="F149" s="34" t="n">
        <v>0.002501</v>
      </c>
      <c r="G149" s="35" t="n">
        <v>0.5</v>
      </c>
      <c r="H149" s="35" t="n">
        <v>104.97</v>
      </c>
      <c r="I149" t="n">
        <v>5</v>
      </c>
      <c r="J149" t="n">
        <v>-5.1</v>
      </c>
      <c r="K149" t="n">
        <v>-5.1</v>
      </c>
      <c r="L149" t="n">
        <v>0.1</v>
      </c>
      <c r="M149" t="n">
        <v>0.1</v>
      </c>
      <c r="N149" t="inlineStr">
        <is>
          <t>CFD Acciones</t>
        </is>
      </c>
    </row>
    <row r="151">
      <c r="A151" s="36" t="inlineStr">
        <is>
          <t>Especificaciones tomadas de la cuenta 51492 de MT5, GrupoInteligenciaSpA-Server, tipo REAL, en CLP, el 2026-09-09 15:08 hora Chile. No editar a mano: se regenera con scripts/simulador_gi.py. MODO SWAP 1 = puntos por día por lote; 5 = interés anual sobre el nocional (año de 360 días). Los nombres en español son los del catálogo del grupo de análisis; el resto llega con la descripción del broker.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2026-09-09T18:08:12Z</dcterms:created>
  <dcterms:modified xmlns:dcterms="http://purl.org/dc/terms/" xmlns:xsi="http://www.w3.org/2001/XMLSchema-instance" xsi:type="dcterms:W3CDTF">2026-09-09T18:08:12Z</dcterms:modified>
</cp:coreProperties>
</file>