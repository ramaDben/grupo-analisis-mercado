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dor" sheetId="1" state="visible" r:id="rId1"/>
    <sheet name="Datos" sheetId="2" state="visible" r:id="rId2"/>
  </sheets>
  <definedNames>
    <definedName name="_xlnm.Print_Area" localSheetId="0">'Simulador'!$B$1:$N$24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###"/>
    <numFmt numFmtId="165" formatCode="&quot;$&quot;#,##0"/>
    <numFmt numFmtId="166" formatCode="yyyy-mm-dd"/>
    <numFmt numFmtId="167" formatCode="dd-mm-yy"/>
  </numFmts>
  <fonts count="14">
    <font>
      <name val="Calibri"/>
      <family val="2"/>
      <color theme="1"/>
      <sz val="11"/>
      <scheme val="minor"/>
    </font>
    <font>
      <b val="1"/>
      <color rgb="00FFFFFF"/>
      <sz val="9"/>
    </font>
    <font>
      <i val="1"/>
      <color rgb="00808080"/>
      <sz val="9"/>
    </font>
    <font>
      <b val="1"/>
      <color rgb="00FFFFFF"/>
      <sz val="18"/>
    </font>
    <font>
      <i val="1"/>
      <color rgb="00595959"/>
      <sz val="10"/>
    </font>
    <font>
      <b val="1"/>
      <sz val="11"/>
    </font>
    <font>
      <b val="1"/>
      <color rgb="000000C0"/>
      <sz val="11"/>
    </font>
    <font>
      <color rgb="00595959"/>
      <sz val="10"/>
    </font>
    <font>
      <b val="1"/>
      <color rgb="00000000"/>
      <sz val="11"/>
    </font>
    <font>
      <b val="1"/>
      <color rgb="00FFFFFF"/>
      <sz val="12"/>
    </font>
    <font>
      <color rgb="00000000"/>
      <sz val="9"/>
    </font>
    <font>
      <b val="1"/>
      <color rgb="00FFFFFF"/>
      <sz val="11"/>
    </font>
    <font>
      <sz val="11"/>
    </font>
    <font>
      <b val="1"/>
      <color rgb="00000000"/>
      <sz val="13"/>
    </font>
  </fonts>
  <fills count="7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0C0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4" borderId="1" applyAlignment="1" applyProtection="1" pivotButton="0" quotePrefix="0" xfId="0">
      <alignment horizontal="center" vertical="center"/>
      <protection locked="0" hidden="0"/>
    </xf>
    <xf numFmtId="0" fontId="0" fillId="4" borderId="1" pivotButton="0" quotePrefix="0" xfId="0"/>
    <xf numFmtId="0" fontId="7" fillId="0" borderId="0" applyAlignment="1" pivotButton="0" quotePrefix="0" xfId="0">
      <alignment horizontal="right" vertical="center"/>
    </xf>
    <xf numFmtId="164" fontId="8" fillId="5" borderId="1" applyAlignment="1" pivotButton="0" quotePrefix="0" xfId="0">
      <alignment horizontal="center" vertical="center"/>
    </xf>
    <xf numFmtId="165" fontId="6" fillId="4" borderId="1" applyAlignment="1" applyProtection="1" pivotButton="0" quotePrefix="0" xfId="0">
      <alignment horizontal="center" vertical="center"/>
      <protection locked="0" hidden="0"/>
    </xf>
    <xf numFmtId="165" fontId="8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7" fontId="6" fillId="4" borderId="1" applyAlignment="1" applyProtection="1" pivotButton="0" quotePrefix="0" xfId="0">
      <alignment horizontal="center" vertical="center"/>
      <protection locked="0" hidden="0"/>
    </xf>
    <xf numFmtId="164" fontId="6" fillId="4" borderId="1" applyAlignment="1" applyProtection="1" pivotButton="0" quotePrefix="0" xfId="0">
      <alignment horizontal="center" vertical="center"/>
      <protection locked="0" hidden="0"/>
    </xf>
    <xf numFmtId="1" fontId="6" fillId="4" borderId="1" applyAlignment="1" applyProtection="1" pivotButton="0" quotePrefix="0" xfId="0">
      <alignment horizontal="center" vertical="center"/>
      <protection locked="0" hidden="0"/>
    </xf>
    <xf numFmtId="2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5" fontId="13" fillId="4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638175" cy="590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P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2" customWidth="1" min="3" max="3"/>
    <col width="13" customWidth="1" min="4" max="4"/>
    <col width="15" customWidth="1" min="5" max="5"/>
    <col width="12" customWidth="1" min="6" max="6"/>
    <col width="12" customWidth="1" min="7" max="7"/>
    <col width="13" customWidth="1" min="8" max="8"/>
    <col width="11" customWidth="1" min="9" max="9"/>
    <col width="13" customWidth="1" min="10" max="10"/>
    <col width="14" customWidth="1" min="11" max="11"/>
    <col width="16" customWidth="1" min="12" max="12"/>
    <col width="28" customWidth="1" min="13" max="13"/>
    <col width="3" customWidth="1" min="14" max="14"/>
    <col hidden="1" width="13" customWidth="1" min="15" max="15"/>
    <col hidden="1" width="13" customWidth="1" min="16" max="16"/>
  </cols>
  <sheetData>
    <row r="1" ht="34" customHeight="1">
      <c r="C1" s="1" t="inlineStr">
        <is>
          <t>SIMULADOR DE OPERACIONES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O1" t="inlineStr">
        <is>
          <t>ticker</t>
        </is>
      </c>
      <c r="P1">
        <f>IFERROR(VLOOKUP($F$4,Datos!$A:$K,2,FALSE),0)</f>
        <v/>
      </c>
    </row>
    <row r="2" ht="20" customHeight="1">
      <c r="C2" s="2" t="inlineStr">
        <is>
          <t>Seleccione el instrumento y registre las operaciones del periodo. El volumen y los costos se calculan automáticamente.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O2" t="inlineStr">
        <is>
          <t>digits</t>
        </is>
      </c>
      <c r="P2">
        <f>IFERROR(VLOOKUP($F$4,Datos!$A:$K,3,FALSE),0)</f>
        <v/>
      </c>
    </row>
    <row r="3">
      <c r="O3" t="inlineStr">
        <is>
          <t>contrato</t>
        </is>
      </c>
      <c r="P3">
        <f>IFERROR(VLOOKUP($F$4,Datos!$A:$K,4,FALSE),0)</f>
        <v/>
      </c>
    </row>
    <row r="4" ht="26" customHeight="1">
      <c r="C4" s="3" t="inlineStr">
        <is>
          <t>1 · Instrumento</t>
        </is>
      </c>
      <c r="F4" s="4" t="inlineStr">
        <is>
          <t>Dólar / Peso Chileno</t>
        </is>
      </c>
      <c r="G4" s="5" t="n"/>
      <c r="I4" s="6" t="inlineStr">
        <is>
          <t>Precio de referencia</t>
        </is>
      </c>
      <c r="L4" s="7">
        <f>$P$7</f>
        <v/>
      </c>
      <c r="O4" t="inlineStr">
        <is>
          <t>clp_unidad</t>
        </is>
      </c>
      <c r="P4">
        <f>IFERROR(VLOOKUP($F$4,Datos!$A:$K,5,FALSE),0)</f>
        <v/>
      </c>
    </row>
    <row r="5" ht="26" customHeight="1">
      <c r="C5" s="3" t="inlineStr">
        <is>
          <t>2 · Capital de la cuenta</t>
        </is>
      </c>
      <c r="F5" s="8" t="n">
        <v>2000000</v>
      </c>
      <c r="G5" s="5" t="n"/>
      <c r="I5" s="6" t="inlineStr">
        <is>
          <t>Capital mínimo por operación (0,01 lotes)</t>
        </is>
      </c>
      <c r="L5" s="9">
        <f>0.01*$P$7*$P$4*$P$5</f>
        <v/>
      </c>
      <c r="O5" t="inlineStr">
        <is>
          <t>tasa</t>
        </is>
      </c>
      <c r="P5">
        <f>IFERROR(VLOOKUP($F$4,Datos!$A:$K,6,FALSE),0)</f>
        <v/>
      </c>
    </row>
    <row r="6">
      <c r="I6" s="6" t="inlineStr">
        <is>
          <t>Spread vigente al generar</t>
        </is>
      </c>
      <c r="L6" s="7">
        <f>$P$6</f>
        <v/>
      </c>
      <c r="O6" t="inlineStr">
        <is>
          <t>spread</t>
        </is>
      </c>
      <c r="P6">
        <f>IFERROR(VLOOKUP($F$4,Datos!$A:$K,7,FALSE),0)</f>
        <v/>
      </c>
    </row>
    <row r="7" ht="30" customHeight="1">
      <c r="C7" s="10">
        <f>IF($F$4="","⚠ Seleccione un instrumento de la lista.",IF(SUMPRODUCT(($E$10:$E$15&gt;0)*($F$10:$F$15=0))&gt;0,"⚠ Hay una operación con capital comprometido y sin precio de entrada.",IF(SUMPRODUCT(($F$10:$F$15&gt;0)*(ABS($F$10:$F$15/$P$7-1)&gt;0.1))&gt;0,"⚠ Un precio de entrada difiere en más de 10% del precio de referencia ($"&amp;FIXED($P$7,$P$2)&amp;"). Verifique que corresponda al instrumento seleccionado.",IF(SUMPRODUCT(($E$10:$E$15&gt;0)*($I$10:$I$15=0))&gt;0,"⚠ Hay una operación bajo el volumen mínimo de 0,01 lotes, que requiere $"&amp;FIXED(0.01*$P$7*$P$4*$P$5,0)&amp;".",IF($L$19&gt;$F$5,"⚠ El margen requerido excede el capital de la cuenta.","✓ "&amp;COUNTIF($I$10:$I$15,"&gt;0")&amp;" operación(es) sobre "&amp;$P$1&amp;". El volumen indicado es el que se ingresa en MT5.")))))</f>
        <v/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O7" t="inlineStr">
        <is>
          <t>precio_ref</t>
        </is>
      </c>
      <c r="P7">
        <f>IFERROR(VLOOKUP($F$4,Datos!$A:$K,8,FALSE),0)</f>
        <v/>
      </c>
    </row>
    <row r="8" ht="24" customHeight="1">
      <c r="C8" s="11" t="inlineStr">
        <is>
          <t>OPERACIONES DEL PERIODO   ·   cada fila es una operación independiente, con su fecha, dirección y capital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O8" t="inlineStr">
        <is>
          <t>swap_modo</t>
        </is>
      </c>
      <c r="P8">
        <f>IFERROR(VLOOKUP($F$4,Datos!$A:$K,9,FALSE),0)</f>
        <v/>
      </c>
    </row>
    <row r="9" ht="34" customHeight="1">
      <c r="C9" s="12" t="inlineStr">
        <is>
          <t>FECHA</t>
        </is>
      </c>
      <c r="D9" s="12" t="inlineStr">
        <is>
          <t>DIRECCIÓN</t>
        </is>
      </c>
      <c r="E9" s="12" t="inlineStr">
        <is>
          <t>CAPITAL COMPROMETIDO</t>
        </is>
      </c>
      <c r="F9" s="12" t="inlineStr">
        <is>
          <t>PRECIO DE ENTRADA</t>
        </is>
      </c>
      <c r="G9" s="12" t="inlineStr">
        <is>
          <t>PRECIO DE SALIDA</t>
        </is>
      </c>
      <c r="H9" s="12" t="inlineStr">
        <is>
          <t>DÍAS DE MANTENCIÓN</t>
        </is>
      </c>
      <c r="I9" s="12" t="inlineStr">
        <is>
          <t>VOLUMEN (LOTES)</t>
        </is>
      </c>
      <c r="J9" s="12" t="inlineStr">
        <is>
          <t>COSTO DE APERTURA</t>
        </is>
      </c>
      <c r="K9" s="12" t="inlineStr">
        <is>
          <t>COSTO DE MANTENCIÓN</t>
        </is>
      </c>
      <c r="L9" s="12" t="inlineStr">
        <is>
          <t>RESULTADO NETO</t>
        </is>
      </c>
      <c r="M9" s="12" t="inlineStr">
        <is>
          <t>OBSERVACIÓN</t>
        </is>
      </c>
      <c r="O9" t="inlineStr">
        <is>
          <t>swap_compra</t>
        </is>
      </c>
      <c r="P9">
        <f>IFERROR(VLOOKUP($F$4,Datos!$A:$K,10,FALSE),0)</f>
        <v/>
      </c>
    </row>
    <row r="10" ht="24" customHeight="1">
      <c r="C10" s="13" t="n">
        <v>46249</v>
      </c>
      <c r="D10" s="4" t="inlineStr">
        <is>
          <t>COMPRA</t>
        </is>
      </c>
      <c r="E10" s="8" t="n">
        <v>500000</v>
      </c>
      <c r="F10" s="14" t="n">
        <v>919.5</v>
      </c>
      <c r="G10" s="14" t="n">
        <v>924.5</v>
      </c>
      <c r="H10" s="15" t="n">
        <v>2</v>
      </c>
      <c r="I10" s="16">
        <f>IFERROR(MAX(0,ROUNDDOWN($E10/($F10*$P$4*$P$5),2)),0)</f>
        <v/>
      </c>
      <c r="J10" s="9">
        <f>IF($I10=0,"",$I10*$P$6*$P$4)</f>
        <v/>
      </c>
      <c r="K10" s="9">
        <f>IF(OR($I10=0,$H10=0),"",ABS(IF($D10="VENTA",$P$10,$P$9)*IF($P$8=1,$I10*POWER(10,-$P$2)*$P$4,$I10*$F10*$P$4/100/360))*($H10+2*ROUNDDOWN($H10/7,0)))</f>
        <v/>
      </c>
      <c r="L10" s="9">
        <f>IF($I10=0,"",IF($D10="COMPRA",$G10-$F10,$F10-$G10)*$I10*$P$4-N($J10)-N($K10))</f>
        <v/>
      </c>
      <c r="M10" s="17">
        <f>IF(OR($I10=0,$G10=""),"",IF(AND($D10="COMPRA",$G10&lt;$F10),"precio de salida inferior a la entrada: resultado negativo en una compra",IF(AND($D10="VENTA",$G10&gt;$F10),"precio de salida superior a la entrada: resultado negativo en una venta","")))</f>
        <v/>
      </c>
      <c r="O10" t="inlineStr">
        <is>
          <t>swap_venta</t>
        </is>
      </c>
      <c r="P10">
        <f>IFERROR(VLOOKUP($F$4,Datos!$A:$K,11,FALSE),0)</f>
        <v/>
      </c>
    </row>
    <row r="11" ht="24" customHeight="1">
      <c r="C11" s="13" t="n">
        <v>46251</v>
      </c>
      <c r="D11" s="4" t="inlineStr">
        <is>
          <t>VENTA</t>
        </is>
      </c>
      <c r="E11" s="8" t="n">
        <v>400000</v>
      </c>
      <c r="F11" s="14" t="n">
        <v>926.5</v>
      </c>
      <c r="G11" s="14" t="n">
        <v>923.5</v>
      </c>
      <c r="H11" s="15" t="n">
        <v>1</v>
      </c>
      <c r="I11" s="16">
        <f>IFERROR(MAX(0,ROUNDDOWN($E11/($F11*$P$4*$P$5),2)),0)</f>
        <v/>
      </c>
      <c r="J11" s="9">
        <f>IF($I11=0,"",$I11*$P$6*$P$4)</f>
        <v/>
      </c>
      <c r="K11" s="9">
        <f>IF(OR($I11=0,$H11=0),"",ABS(IF($D11="VENTA",$P$10,$P$9)*IF($P$8=1,$I11*POWER(10,-$P$2)*$P$4,$I11*$F11*$P$4/100/360))*($H11+2*ROUNDDOWN($H11/7,0)))</f>
        <v/>
      </c>
      <c r="L11" s="9">
        <f>IF($I11=0,"",IF($D11="COMPRA",$G11-$F11,$F11-$G11)*$I11*$P$4-N($J11)-N($K11))</f>
        <v/>
      </c>
      <c r="M11" s="17">
        <f>IF(OR($I11=0,$G11=""),"",IF(AND($D11="COMPRA",$G11&lt;$F11),"precio de salida inferior a la entrada: resultado negativo en una compra",IF(AND($D11="VENTA",$G11&gt;$F11),"precio de salida superior a la entrada: resultado negativo en una venta","")))</f>
        <v/>
      </c>
    </row>
    <row r="12" ht="24" customHeight="1">
      <c r="C12" s="13" t="n">
        <v>46252</v>
      </c>
      <c r="D12" s="4" t="inlineStr">
        <is>
          <t>COMPRA</t>
        </is>
      </c>
      <c r="E12" s="8" t="n">
        <v>300000</v>
      </c>
      <c r="F12" s="14" t="n">
        <v>922.5</v>
      </c>
      <c r="G12" s="14" t="n">
        <v>921</v>
      </c>
      <c r="H12" s="15" t="n">
        <v>0</v>
      </c>
      <c r="I12" s="16">
        <f>IFERROR(MAX(0,ROUNDDOWN($E12/($F12*$P$4*$P$5),2)),0)</f>
        <v/>
      </c>
      <c r="J12" s="9">
        <f>IF($I12=0,"",$I12*$P$6*$P$4)</f>
        <v/>
      </c>
      <c r="K12" s="9">
        <f>IF(OR($I12=0,$H12=0),"",ABS(IF($D12="VENTA",$P$10,$P$9)*IF($P$8=1,$I12*POWER(10,-$P$2)*$P$4,$I12*$F12*$P$4/100/360))*($H12+2*ROUNDDOWN($H12/7,0)))</f>
        <v/>
      </c>
      <c r="L12" s="9">
        <f>IF($I12=0,"",IF($D12="COMPRA",$G12-$F12,$F12-$G12)*$I12*$P$4-N($J12)-N($K12))</f>
        <v/>
      </c>
      <c r="M12" s="17">
        <f>IF(OR($I12=0,$G12=""),"",IF(AND($D12="COMPRA",$G12&lt;$F12),"precio de salida inferior a la entrada: resultado negativo en una compra",IF(AND($D12="VENTA",$G12&gt;$F12),"precio de salida superior a la entrada: resultado negativo en una venta","")))</f>
        <v/>
      </c>
    </row>
    <row r="13" ht="24" customHeight="1">
      <c r="C13" s="13" t="n"/>
      <c r="D13" s="4" t="n"/>
      <c r="E13" s="8" t="n"/>
      <c r="F13" s="14" t="n"/>
      <c r="G13" s="14" t="n"/>
      <c r="H13" s="15" t="n"/>
      <c r="I13" s="16">
        <f>IFERROR(MAX(0,ROUNDDOWN($E13/($F13*$P$4*$P$5),2)),0)</f>
        <v/>
      </c>
      <c r="J13" s="9">
        <f>IF($I13=0,"",$I13*$P$6*$P$4)</f>
        <v/>
      </c>
      <c r="K13" s="9">
        <f>IF(OR($I13=0,$H13=0),"",ABS(IF($D13="VENTA",$P$10,$P$9)*IF($P$8=1,$I13*POWER(10,-$P$2)*$P$4,$I13*$F13*$P$4/100/360))*($H13+2*ROUNDDOWN($H13/7,0)))</f>
        <v/>
      </c>
      <c r="L13" s="9">
        <f>IF($I13=0,"",IF($D13="COMPRA",$G13-$F13,$F13-$G13)*$I13*$P$4-N($J13)-N($K13))</f>
        <v/>
      </c>
      <c r="M13" s="17">
        <f>IF(OR($I13=0,$G13=""),"",IF(AND($D13="COMPRA",$G13&lt;$F13),"precio de salida inferior a la entrada: resultado negativo en una compra",IF(AND($D13="VENTA",$G13&gt;$F13),"precio de salida superior a la entrada: resultado negativo en una venta","")))</f>
        <v/>
      </c>
    </row>
    <row r="14" ht="24" customHeight="1">
      <c r="C14" s="13" t="n"/>
      <c r="D14" s="4" t="n"/>
      <c r="E14" s="8" t="n"/>
      <c r="F14" s="14" t="n"/>
      <c r="G14" s="14" t="n"/>
      <c r="H14" s="15" t="n"/>
      <c r="I14" s="16">
        <f>IFERROR(MAX(0,ROUNDDOWN($E14/($F14*$P$4*$P$5),2)),0)</f>
        <v/>
      </c>
      <c r="J14" s="9">
        <f>IF($I14=0,"",$I14*$P$6*$P$4)</f>
        <v/>
      </c>
      <c r="K14" s="9">
        <f>IF(OR($I14=0,$H14=0),"",ABS(IF($D14="VENTA",$P$10,$P$9)*IF($P$8=1,$I14*POWER(10,-$P$2)*$P$4,$I14*$F14*$P$4/100/360))*($H14+2*ROUNDDOWN($H14/7,0)))</f>
        <v/>
      </c>
      <c r="L14" s="9">
        <f>IF($I14=0,"",IF($D14="COMPRA",$G14-$F14,$F14-$G14)*$I14*$P$4-N($J14)-N($K14))</f>
        <v/>
      </c>
      <c r="M14" s="17">
        <f>IF(OR($I14=0,$G14=""),"",IF(AND($D14="COMPRA",$G14&lt;$F14),"precio de salida inferior a la entrada: resultado negativo en una compra",IF(AND($D14="VENTA",$G14&gt;$F14),"precio de salida superior a la entrada: resultado negativo en una venta","")))</f>
        <v/>
      </c>
    </row>
    <row r="15" ht="24" customHeight="1">
      <c r="C15" s="13" t="n"/>
      <c r="D15" s="4" t="n"/>
      <c r="E15" s="8" t="n"/>
      <c r="F15" s="14" t="n"/>
      <c r="G15" s="14" t="n"/>
      <c r="H15" s="15" t="n"/>
      <c r="I15" s="16">
        <f>IFERROR(MAX(0,ROUNDDOWN($E15/($F15*$P$4*$P$5),2)),0)</f>
        <v/>
      </c>
      <c r="J15" s="9">
        <f>IF($I15=0,"",$I15*$P$6*$P$4)</f>
        <v/>
      </c>
      <c r="K15" s="9">
        <f>IF(OR($I15=0,$H15=0),"",ABS(IF($D15="VENTA",$P$10,$P$9)*IF($P$8=1,$I15*POWER(10,-$P$2)*$P$4,$I15*$F15*$P$4/100/360))*($H15+2*ROUNDDOWN($H15/7,0)))</f>
        <v/>
      </c>
      <c r="L15" s="9">
        <f>IF($I15=0,"",IF($D15="COMPRA",$G15-$F15,$F15-$G15)*$I15*$P$4-N($J15)-N($K15))</f>
        <v/>
      </c>
      <c r="M15" s="17">
        <f>IF(OR($I15=0,$G15=""),"",IF(AND($D15="COMPRA",$G15&lt;$F15),"precio de salida inferior a la entrada: resultado negativo en una compra",IF(AND($D15="VENTA",$G15&gt;$F15),"precio de salida superior a la entrada: resultado negativo en una venta","")))</f>
        <v/>
      </c>
    </row>
    <row r="16" ht="24" customHeight="1">
      <c r="C16" s="18" t="inlineStr">
        <is>
          <t>TOTALES</t>
        </is>
      </c>
      <c r="D16" s="18" t="n"/>
      <c r="E16" s="19">
        <f>SUM(E10:E15)</f>
        <v/>
      </c>
      <c r="F16" s="20" t="n"/>
      <c r="G16" s="20" t="n"/>
      <c r="H16" s="20" t="n"/>
      <c r="I16" s="21">
        <f>SUM(I10:I15)</f>
        <v/>
      </c>
      <c r="J16" s="19">
        <f>SUM(J10:J15)</f>
        <v/>
      </c>
      <c r="K16" s="19">
        <f>SUM(K10:K15)</f>
        <v/>
      </c>
      <c r="L16" s="19">
        <f>SUM(L10:L15)</f>
        <v/>
      </c>
      <c r="M16" s="20" t="n"/>
    </row>
    <row r="18" ht="22" customHeight="1">
      <c r="I18" s="22" t="inlineStr">
        <is>
          <t>Exposición nocional total</t>
        </is>
      </c>
      <c r="L18" s="9">
        <f>SUMPRODUCT($I$10:$I$15,$F$10:$F$15)*$P$4</f>
        <v/>
      </c>
    </row>
    <row r="19" ht="22" customHeight="1">
      <c r="I19" s="22" t="inlineStr">
        <is>
          <t>Margen requerido (posiciones simultáneas)</t>
        </is>
      </c>
      <c r="L19" s="9">
        <f>$L$18*$P$5</f>
        <v/>
      </c>
    </row>
    <row r="20" ht="22" customHeight="1">
      <c r="I20" s="22" t="inlineStr">
        <is>
          <t>Resultado neto del periodo</t>
        </is>
      </c>
      <c r="L20" s="9">
        <f>$L$16</f>
        <v/>
      </c>
    </row>
    <row r="21" ht="22" customHeight="1">
      <c r="I21" s="23" t="inlineStr">
        <is>
          <t>Patrimonio final</t>
        </is>
      </c>
      <c r="L21" s="24">
        <f>$F$5+$L$16</f>
        <v/>
      </c>
    </row>
    <row r="23" ht="30" customHeight="1">
      <c r="C23" s="25" t="inlineStr">
        <is>
          <t>Especificaciones del broker al 2026-08-19 14:41 hora Chile. Celdas crema: campos editables; el resto son fórmulas. El COSTO DE MANTENCIÓN (swap) es una estimación: agrega 2 días por semana completa, porque el broker aplica cargo triple un día a la semana. Este simulador no incorpora stop loss.</t>
        </is>
      </c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17">
    <mergeCell ref="F4:G4"/>
    <mergeCell ref="C8:M8"/>
    <mergeCell ref="I19:K19"/>
    <mergeCell ref="C5:E5"/>
    <mergeCell ref="C16:D16"/>
    <mergeCell ref="C7:M7"/>
    <mergeCell ref="I5:K5"/>
    <mergeCell ref="F5:G5"/>
    <mergeCell ref="C4:E4"/>
    <mergeCell ref="I18:K18"/>
    <mergeCell ref="I4:K4"/>
    <mergeCell ref="C23:M23"/>
    <mergeCell ref="I20:K20"/>
    <mergeCell ref="I21:K21"/>
    <mergeCell ref="C2:L2"/>
    <mergeCell ref="C1:L1"/>
    <mergeCell ref="I6:K6"/>
  </mergeCells>
  <conditionalFormatting sqref="L10:L16">
    <cfRule type="expression" priority="1" dxfId="0">
      <formula>AND($L10&lt;&gt;"",$L10&lt;0)</formula>
    </cfRule>
  </conditionalFormatting>
  <conditionalFormatting sqref="M10:M15">
    <cfRule type="expression" priority="2" dxfId="0">
      <formula>$M10&lt;&gt;""</formula>
    </cfRule>
  </conditionalFormatting>
  <conditionalFormatting sqref="L21">
    <cfRule type="expression" priority="3" dxfId="0">
      <formula>$L$21&lt;$F$5</formula>
    </cfRule>
  </conditionalFormatting>
  <dataValidations count="3">
    <dataValidation sqref="F4" showDropDown="0" showInputMessage="0" showErrorMessage="1" allowBlank="0" errorTitle="Instrumento no válido" error="Seleccione un instrumento de la lista." type="list">
      <formula1>Datos!$A$2:$A$26</formula1>
    </dataValidation>
    <dataValidation sqref="D10 D11 D12 D13 D14 D15" showDropDown="0" showInputMessage="0" showErrorMessage="1" allowBlank="1" errorTitle="Dirección no válida" error="Seleccione COMPRA o VENTA." type="list">
      <formula1>"COMPRA,VENTA"</formula1>
    </dataValidation>
    <dataValidation sqref="H10 H11 H12 H13 H14 H15" showDropDown="0" showInputMessage="0" showErrorMessage="1" allowBlank="1" errorTitle="Días no válidos" error="Indique los días completos de mantención de la posición (0 si se abre y cierra en la misma jornada)." type="whole" operator="between">
      <formula1>0</formula1>
      <formula2>3650</formula2>
    </dataValidation>
  </dataValidation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7" customWidth="1" min="4" max="4"/>
    <col width="21" customWidth="1" min="5" max="5"/>
    <col width="10" customWidth="1" min="6" max="6"/>
    <col width="11" customWidth="1" min="7" max="7"/>
    <col width="13" customWidth="1" min="8" max="8"/>
    <col width="11" customWidth="1" min="9" max="9"/>
    <col width="13" customWidth="1" min="10" max="10"/>
    <col width="13" customWidth="1" min="11" max="11"/>
  </cols>
  <sheetData>
    <row r="1">
      <c r="A1" s="27" t="inlineStr">
        <is>
          <t>INSTRUMENTO</t>
        </is>
      </c>
      <c r="B1" s="27" t="inlineStr">
        <is>
          <t>TICKER MT5</t>
        </is>
      </c>
      <c r="C1" s="27" t="inlineStr">
        <is>
          <t>DECIMALES</t>
        </is>
      </c>
      <c r="D1" s="27" t="inlineStr">
        <is>
          <t>TAMAÑO DE CONTRATO (1 lote)</t>
        </is>
      </c>
      <c r="E1" s="27" t="inlineStr">
        <is>
          <t>VALOR EN CLP DE 1,0 DE PRECIO (POR LOTE)</t>
        </is>
      </c>
      <c r="F1" s="27" t="inlineStr">
        <is>
          <t>MARGEN</t>
        </is>
      </c>
      <c r="G1" s="27" t="inlineStr">
        <is>
          <t>SPREAD</t>
        </is>
      </c>
      <c r="H1" s="27" t="inlineStr">
        <is>
          <t>PRECIO DE REFERENCIA</t>
        </is>
      </c>
      <c r="I1" s="27" t="inlineStr">
        <is>
          <t>MODO SWAP</t>
        </is>
      </c>
      <c r="J1" s="27" t="inlineStr">
        <is>
          <t>SWAP COMPRA</t>
        </is>
      </c>
      <c r="K1" s="27" t="inlineStr">
        <is>
          <t>SWAP VENTA</t>
        </is>
      </c>
    </row>
    <row r="2">
      <c r="A2" t="inlineStr">
        <is>
          <t>Dólar / Peso Chileno</t>
        </is>
      </c>
      <c r="B2" t="inlineStr">
        <is>
          <t>USDCLP</t>
        </is>
      </c>
      <c r="C2" t="n">
        <v>2</v>
      </c>
      <c r="D2" t="n">
        <v>100000</v>
      </c>
      <c r="E2" t="n">
        <v>100000</v>
      </c>
      <c r="F2" s="28" t="n">
        <v>0.01</v>
      </c>
      <c r="G2" s="29" t="n">
        <v>1</v>
      </c>
      <c r="H2" s="29" t="n">
        <v>922.5</v>
      </c>
      <c r="I2" t="n">
        <v>1</v>
      </c>
      <c r="J2" t="n">
        <v>-7</v>
      </c>
      <c r="K2" t="n">
        <v>-0.1</v>
      </c>
    </row>
    <row r="3">
      <c r="A3" t="inlineStr">
        <is>
          <t>Dólar / Yen Japonés</t>
        </is>
      </c>
      <c r="B3" t="inlineStr">
        <is>
          <t>USDJPY</t>
        </is>
      </c>
      <c r="C3" t="n">
        <v>3</v>
      </c>
      <c r="D3" t="n">
        <v>100000</v>
      </c>
      <c r="E3" t="n">
        <v>579030.62</v>
      </c>
      <c r="F3" s="28" t="n">
        <v>0.010063</v>
      </c>
      <c r="G3" s="29" t="n">
        <v>0.04</v>
      </c>
      <c r="H3" s="29" t="n">
        <v>158.318</v>
      </c>
      <c r="I3" t="n">
        <v>1</v>
      </c>
      <c r="J3" t="n">
        <v>-2.513</v>
      </c>
      <c r="K3" t="n">
        <v>-3.631</v>
      </c>
    </row>
    <row r="4">
      <c r="A4" t="inlineStr">
        <is>
          <t>Euro / Dólar</t>
        </is>
      </c>
      <c r="B4" t="inlineStr">
        <is>
          <t>EURUSD</t>
        </is>
      </c>
      <c r="C4" t="n">
        <v>5</v>
      </c>
      <c r="D4" t="n">
        <v>100000</v>
      </c>
      <c r="E4" t="n">
        <v>92250000</v>
      </c>
      <c r="F4" s="28" t="n">
        <v>0.01</v>
      </c>
      <c r="G4" s="29" t="n">
        <v>0.00026</v>
      </c>
      <c r="H4" s="29" t="n">
        <v>1.16742</v>
      </c>
      <c r="I4" t="n">
        <v>1</v>
      </c>
      <c r="J4" t="n">
        <v>-5.455</v>
      </c>
      <c r="K4" t="n">
        <v>-1.09</v>
      </c>
    </row>
    <row r="5">
      <c r="A5" t="inlineStr">
        <is>
          <t>Libra / Dólar</t>
        </is>
      </c>
      <c r="B5" t="inlineStr">
        <is>
          <t>GBPUSD</t>
        </is>
      </c>
      <c r="C5" t="n">
        <v>5</v>
      </c>
      <c r="D5" t="n">
        <v>100000</v>
      </c>
      <c r="E5" t="n">
        <v>92250000</v>
      </c>
      <c r="F5" s="28" t="n">
        <v>0.01</v>
      </c>
      <c r="G5" s="29" t="n">
        <v>0.0005</v>
      </c>
      <c r="H5" s="29" t="n">
        <v>1.36083</v>
      </c>
      <c r="I5" t="n">
        <v>1</v>
      </c>
      <c r="J5" t="n">
        <v>-3.612</v>
      </c>
      <c r="K5" t="n">
        <v>-3.264</v>
      </c>
    </row>
    <row r="6">
      <c r="A6" t="inlineStr">
        <is>
          <t>Oro</t>
        </is>
      </c>
      <c r="B6" t="inlineStr">
        <is>
          <t>XAUUSD</t>
        </is>
      </c>
      <c r="C6" t="n">
        <v>2</v>
      </c>
      <c r="D6" t="n">
        <v>100</v>
      </c>
      <c r="E6" t="n">
        <v>92150</v>
      </c>
      <c r="F6" s="28" t="n">
        <v>0.045049</v>
      </c>
      <c r="G6" s="29" t="n">
        <v>0.6</v>
      </c>
      <c r="H6" s="29" t="n">
        <v>4490.4</v>
      </c>
      <c r="I6" t="n">
        <v>1</v>
      </c>
      <c r="J6" t="n">
        <v>-16</v>
      </c>
      <c r="K6" t="n">
        <v>-6</v>
      </c>
    </row>
    <row r="7">
      <c r="A7" t="inlineStr">
        <is>
          <t>Plata</t>
        </is>
      </c>
      <c r="B7" t="inlineStr">
        <is>
          <t>XAGUSD</t>
        </is>
      </c>
      <c r="C7" t="n">
        <v>3</v>
      </c>
      <c r="D7" t="n">
        <v>5000</v>
      </c>
      <c r="E7" t="n">
        <v>4607500</v>
      </c>
      <c r="F7" s="28" t="n">
        <v>0.045049</v>
      </c>
      <c r="G7" s="29" t="n">
        <v>0.05</v>
      </c>
      <c r="H7" s="29" t="n">
        <v>65.90900000000001</v>
      </c>
      <c r="I7" t="n">
        <v>1</v>
      </c>
      <c r="J7" t="n">
        <v>-4</v>
      </c>
      <c r="K7" t="n">
        <v>-1</v>
      </c>
    </row>
    <row r="8">
      <c r="A8" t="inlineStr">
        <is>
          <t>Petróleo WTI</t>
        </is>
      </c>
      <c r="B8" t="inlineStr">
        <is>
          <t>WTI.spot</t>
        </is>
      </c>
      <c r="C8" t="n">
        <v>3</v>
      </c>
      <c r="D8" t="n">
        <v>1000</v>
      </c>
      <c r="E8" t="n">
        <v>921500</v>
      </c>
      <c r="F8" s="28" t="n">
        <v>0.015016</v>
      </c>
      <c r="G8" s="29" t="n">
        <v>0.15</v>
      </c>
      <c r="H8" s="29" t="n">
        <v>84.934</v>
      </c>
      <c r="I8" t="n">
        <v>1</v>
      </c>
      <c r="J8" t="n">
        <v>-20</v>
      </c>
      <c r="K8" t="n">
        <v>-15</v>
      </c>
    </row>
    <row r="9">
      <c r="A9" t="inlineStr">
        <is>
          <t>Bitcoin</t>
        </is>
      </c>
      <c r="B9" t="inlineStr">
        <is>
          <t>BTCUSD</t>
        </is>
      </c>
      <c r="C9" t="n">
        <v>2</v>
      </c>
      <c r="D9" t="n">
        <v>1</v>
      </c>
      <c r="E9" t="n">
        <v>921.5</v>
      </c>
      <c r="F9" s="28" t="n">
        <v>0.015016</v>
      </c>
      <c r="G9" s="29" t="n">
        <v>79.19</v>
      </c>
      <c r="H9" s="29" t="n">
        <v>68375.5</v>
      </c>
      <c r="I9" t="n">
        <v>5</v>
      </c>
      <c r="J9" t="n">
        <v>-0.288</v>
      </c>
      <c r="K9" t="n">
        <v>-0.082</v>
      </c>
    </row>
    <row r="10">
      <c r="A10" t="inlineStr">
        <is>
          <t>Nasdaq 100</t>
        </is>
      </c>
      <c r="B10" t="inlineStr">
        <is>
          <t>US100.spot</t>
        </is>
      </c>
      <c r="C10" t="n">
        <v>2</v>
      </c>
      <c r="D10" t="n">
        <v>1</v>
      </c>
      <c r="E10" t="n">
        <v>921.5</v>
      </c>
      <c r="F10" s="28" t="n">
        <v>0.050054</v>
      </c>
      <c r="G10" s="29" t="n">
        <v>1</v>
      </c>
      <c r="H10" s="29" t="n">
        <v>29490.82</v>
      </c>
      <c r="I10" t="n">
        <v>5</v>
      </c>
      <c r="J10" t="n">
        <v>-3.8415</v>
      </c>
      <c r="K10" t="n">
        <v>-1.9899</v>
      </c>
    </row>
    <row r="11">
      <c r="A11" t="inlineStr">
        <is>
          <t>S&amp;P 500</t>
        </is>
      </c>
      <c r="B11" t="inlineStr">
        <is>
          <t>US500.spot</t>
        </is>
      </c>
      <c r="C11" t="n">
        <v>2</v>
      </c>
      <c r="D11" t="n">
        <v>1</v>
      </c>
      <c r="E11" t="n">
        <v>921.5</v>
      </c>
      <c r="F11" s="28" t="n">
        <v>0.050054</v>
      </c>
      <c r="G11" s="29" t="n">
        <v>1</v>
      </c>
      <c r="H11" s="29" t="n">
        <v>7729.78</v>
      </c>
      <c r="I11" t="n">
        <v>5</v>
      </c>
      <c r="J11" t="n">
        <v>-3.8415</v>
      </c>
      <c r="K11" t="n">
        <v>-1.9899</v>
      </c>
    </row>
    <row r="12">
      <c r="A12" t="inlineStr">
        <is>
          <t>Dow Jones Industrial</t>
        </is>
      </c>
      <c r="B12" t="inlineStr">
        <is>
          <t>US30.spot</t>
        </is>
      </c>
      <c r="C12" t="n">
        <v>2</v>
      </c>
      <c r="D12" t="n">
        <v>1</v>
      </c>
      <c r="E12" t="n">
        <v>921.5</v>
      </c>
      <c r="F12" s="28" t="n">
        <v>0.050054</v>
      </c>
      <c r="G12" s="29" t="n">
        <v>7</v>
      </c>
      <c r="H12" s="29" t="n">
        <v>53522.5</v>
      </c>
      <c r="I12" t="n">
        <v>5</v>
      </c>
      <c r="J12" t="n">
        <v>-3.6161</v>
      </c>
      <c r="K12" t="n">
        <v>-1.9353</v>
      </c>
    </row>
    <row r="13">
      <c r="A13" t="inlineStr">
        <is>
          <t>Apple Inc.</t>
        </is>
      </c>
      <c r="B13" t="inlineStr">
        <is>
          <t>#AAPL</t>
        </is>
      </c>
      <c r="C13" t="n">
        <v>2</v>
      </c>
      <c r="D13" t="n">
        <v>50</v>
      </c>
      <c r="E13" t="n">
        <v>46075</v>
      </c>
      <c r="F13" s="28" t="n">
        <v>0.005005</v>
      </c>
      <c r="G13" s="29" t="n">
        <v>0.32</v>
      </c>
      <c r="H13" s="29" t="n">
        <v>315.18</v>
      </c>
      <c r="I13" t="n">
        <v>5</v>
      </c>
      <c r="J13" t="n">
        <v>-5.1</v>
      </c>
      <c r="K13" t="n">
        <v>-5.1</v>
      </c>
    </row>
    <row r="14">
      <c r="A14" t="inlineStr">
        <is>
          <t>Microsoft Corp.</t>
        </is>
      </c>
      <c r="B14" t="inlineStr">
        <is>
          <t>#MSFT</t>
        </is>
      </c>
      <c r="C14" t="n">
        <v>2</v>
      </c>
      <c r="D14" t="n">
        <v>50</v>
      </c>
      <c r="E14" t="n">
        <v>46075</v>
      </c>
      <c r="F14" s="28" t="n">
        <v>0.005005</v>
      </c>
      <c r="G14" s="29" t="n">
        <v>0.6</v>
      </c>
      <c r="H14" s="29" t="n">
        <v>484.73</v>
      </c>
      <c r="I14" t="n">
        <v>5</v>
      </c>
      <c r="J14" t="n">
        <v>-5.1</v>
      </c>
      <c r="K14" t="n">
        <v>-5.1</v>
      </c>
    </row>
    <row r="15">
      <c r="A15" t="inlineStr">
        <is>
          <t>NVIDIA Corp.</t>
        </is>
      </c>
      <c r="B15" t="inlineStr">
        <is>
          <t>#NVDA</t>
        </is>
      </c>
      <c r="C15" t="n">
        <v>2</v>
      </c>
      <c r="D15" t="n">
        <v>50</v>
      </c>
      <c r="E15" t="n">
        <v>46075</v>
      </c>
      <c r="F15" s="28" t="n">
        <v>0.005005</v>
      </c>
      <c r="G15" s="29" t="n">
        <v>0.9</v>
      </c>
      <c r="H15" s="29" t="n">
        <v>220.1</v>
      </c>
      <c r="I15" t="n">
        <v>5</v>
      </c>
      <c r="J15" t="n">
        <v>-5.1</v>
      </c>
      <c r="K15" t="n">
        <v>-5.1</v>
      </c>
    </row>
    <row r="16">
      <c r="A16" t="inlineStr">
        <is>
          <t>Amazon.com Inc.</t>
        </is>
      </c>
      <c r="B16" t="inlineStr">
        <is>
          <t>#AMZN</t>
        </is>
      </c>
      <c r="C16" t="n">
        <v>2</v>
      </c>
      <c r="D16" t="n">
        <v>50</v>
      </c>
      <c r="E16" t="n">
        <v>46075</v>
      </c>
      <c r="F16" s="28" t="n">
        <v>0.007508</v>
      </c>
      <c r="G16" s="29" t="n">
        <v>0.31</v>
      </c>
      <c r="H16" s="29" t="n">
        <v>264.32</v>
      </c>
      <c r="I16" t="n">
        <v>5</v>
      </c>
      <c r="J16" t="n">
        <v>-5.1</v>
      </c>
      <c r="K16" t="n">
        <v>-5.1</v>
      </c>
    </row>
    <row r="17">
      <c r="A17" t="inlineStr">
        <is>
          <t>Advanced Micro Devices</t>
        </is>
      </c>
      <c r="B17" t="inlineStr">
        <is>
          <t>#AMD</t>
        </is>
      </c>
      <c r="C17" t="n">
        <v>2</v>
      </c>
      <c r="D17" t="n">
        <v>50</v>
      </c>
      <c r="E17" t="n">
        <v>46075</v>
      </c>
      <c r="F17" s="28" t="n">
        <v>0.005005</v>
      </c>
      <c r="G17" s="29" t="n">
        <v>0.26</v>
      </c>
      <c r="H17" s="29" t="n">
        <v>465.96</v>
      </c>
      <c r="I17" t="n">
        <v>5</v>
      </c>
      <c r="J17" t="n">
        <v>-5.1</v>
      </c>
      <c r="K17" t="n">
        <v>-5.1</v>
      </c>
    </row>
    <row r="18">
      <c r="A18" t="inlineStr">
        <is>
          <t>MercadoLibre Inc.</t>
        </is>
      </c>
      <c r="B18" t="inlineStr">
        <is>
          <t>#MELI</t>
        </is>
      </c>
      <c r="C18" t="n">
        <v>2</v>
      </c>
      <c r="D18" t="n">
        <v>50</v>
      </c>
      <c r="E18" t="n">
        <v>46075</v>
      </c>
      <c r="F18" s="28" t="n">
        <v>0.005005</v>
      </c>
      <c r="G18" s="29" t="n">
        <v>7</v>
      </c>
      <c r="H18" s="29" t="n">
        <v>1908.71</v>
      </c>
      <c r="I18" t="n">
        <v>5</v>
      </c>
      <c r="J18" t="n">
        <v>-5.1</v>
      </c>
      <c r="K18" t="n">
        <v>-5.1</v>
      </c>
    </row>
    <row r="19">
      <c r="A19" t="inlineStr">
        <is>
          <t>JPMorgan Chase</t>
        </is>
      </c>
      <c r="B19" t="inlineStr">
        <is>
          <t>#JPM</t>
        </is>
      </c>
      <c r="C19" t="n">
        <v>2</v>
      </c>
      <c r="D19" t="n">
        <v>50</v>
      </c>
      <c r="E19" t="n">
        <v>46075</v>
      </c>
      <c r="F19" s="28" t="n">
        <v>0.002503</v>
      </c>
      <c r="G19" s="29" t="n">
        <v>0.25</v>
      </c>
      <c r="H19" s="29" t="n">
        <v>356.48</v>
      </c>
      <c r="I19" t="n">
        <v>5</v>
      </c>
      <c r="J19" t="n">
        <v>-5.1</v>
      </c>
      <c r="K19" t="n">
        <v>-5.1</v>
      </c>
    </row>
    <row r="20">
      <c r="A20" t="inlineStr">
        <is>
          <t>Bank of America</t>
        </is>
      </c>
      <c r="B20" t="inlineStr">
        <is>
          <t>#BAC</t>
        </is>
      </c>
      <c r="C20" t="n">
        <v>2</v>
      </c>
      <c r="D20" t="n">
        <v>50</v>
      </c>
      <c r="E20" t="n">
        <v>46075</v>
      </c>
      <c r="F20" s="28" t="n">
        <v>0.005005</v>
      </c>
      <c r="G20" s="29" t="n">
        <v>0.08</v>
      </c>
      <c r="H20" s="29" t="n">
        <v>63.17</v>
      </c>
      <c r="I20" t="n">
        <v>5</v>
      </c>
      <c r="J20" t="n">
        <v>-5.1</v>
      </c>
      <c r="K20" t="n">
        <v>-5.1</v>
      </c>
    </row>
    <row r="21">
      <c r="A21" t="inlineStr">
        <is>
          <t>Goldman Sachs</t>
        </is>
      </c>
      <c r="B21" t="inlineStr">
        <is>
          <t>#GS</t>
        </is>
      </c>
      <c r="C21" t="n">
        <v>2</v>
      </c>
      <c r="D21" t="n">
        <v>50</v>
      </c>
      <c r="E21" t="n">
        <v>46075</v>
      </c>
      <c r="F21" s="28" t="n">
        <v>0.002503</v>
      </c>
      <c r="G21" s="29" t="n">
        <v>0.7000000000000001</v>
      </c>
      <c r="H21" s="29" t="n">
        <v>1019.2</v>
      </c>
      <c r="I21" t="n">
        <v>5</v>
      </c>
      <c r="J21" t="n">
        <v>-5.1</v>
      </c>
      <c r="K21" t="n">
        <v>-5.1</v>
      </c>
    </row>
    <row r="22">
      <c r="A22" t="inlineStr">
        <is>
          <t>Morgan Stanley</t>
        </is>
      </c>
      <c r="B22" t="inlineStr">
        <is>
          <t>#MS</t>
        </is>
      </c>
      <c r="C22" t="n">
        <v>2</v>
      </c>
      <c r="D22" t="n">
        <v>50</v>
      </c>
      <c r="E22" t="n">
        <v>46075</v>
      </c>
      <c r="F22" s="28" t="n">
        <v>0.005005</v>
      </c>
      <c r="G22" s="29" t="n">
        <v>0.11</v>
      </c>
      <c r="H22" s="29" t="n">
        <v>214.21</v>
      </c>
      <c r="I22" t="n">
        <v>5</v>
      </c>
      <c r="J22" t="n">
        <v>-5.1</v>
      </c>
      <c r="K22" t="n">
        <v>-5.1</v>
      </c>
    </row>
    <row r="23">
      <c r="A23" t="inlineStr">
        <is>
          <t>Boeing Co.</t>
        </is>
      </c>
      <c r="B23" t="inlineStr">
        <is>
          <t>#BA</t>
        </is>
      </c>
      <c r="C23" t="n">
        <v>2</v>
      </c>
      <c r="D23" t="n">
        <v>50</v>
      </c>
      <c r="E23" t="n">
        <v>46075</v>
      </c>
      <c r="F23" s="28" t="n">
        <v>0.005005</v>
      </c>
      <c r="G23" s="29" t="n">
        <v>0.89</v>
      </c>
      <c r="H23" s="29" t="n">
        <v>222.8</v>
      </c>
      <c r="I23" t="n">
        <v>5</v>
      </c>
      <c r="J23" t="n">
        <v>-5.1</v>
      </c>
      <c r="K23" t="n">
        <v>-5.1</v>
      </c>
    </row>
    <row r="24">
      <c r="A24" t="inlineStr">
        <is>
          <t>Caterpillar Inc.</t>
        </is>
      </c>
      <c r="B24" t="inlineStr">
        <is>
          <t>#CAT</t>
        </is>
      </c>
      <c r="C24" t="n">
        <v>2</v>
      </c>
      <c r="D24" t="n">
        <v>50</v>
      </c>
      <c r="E24" t="n">
        <v>46075</v>
      </c>
      <c r="F24" s="28" t="n">
        <v>0.002503</v>
      </c>
      <c r="G24" s="29" t="n">
        <v>0.45</v>
      </c>
      <c r="H24" s="29" t="n">
        <v>808.95</v>
      </c>
      <c r="I24" t="n">
        <v>5</v>
      </c>
      <c r="J24" t="n">
        <v>-5.1</v>
      </c>
      <c r="K24" t="n">
        <v>-5.1</v>
      </c>
    </row>
    <row r="25">
      <c r="A25" t="inlineStr">
        <is>
          <t>GE Aerospace</t>
        </is>
      </c>
      <c r="B25" t="inlineStr">
        <is>
          <t>#GE</t>
        </is>
      </c>
      <c r="C25" t="n">
        <v>2</v>
      </c>
      <c r="D25" t="n">
        <v>50</v>
      </c>
      <c r="E25" t="n">
        <v>46075</v>
      </c>
      <c r="F25" s="28" t="n">
        <v>0.002503</v>
      </c>
      <c r="G25" s="29" t="n">
        <v>0.21</v>
      </c>
      <c r="H25" s="29" t="n">
        <v>358.5</v>
      </c>
      <c r="I25" t="n">
        <v>5</v>
      </c>
      <c r="J25" t="n">
        <v>-5.1</v>
      </c>
      <c r="K25" t="n">
        <v>-5.1</v>
      </c>
    </row>
    <row r="26">
      <c r="A26" t="inlineStr">
        <is>
          <t>Deere &amp; Co.</t>
        </is>
      </c>
      <c r="B26" t="inlineStr">
        <is>
          <t>#DE</t>
        </is>
      </c>
      <c r="C26" t="n">
        <v>2</v>
      </c>
      <c r="D26" t="n">
        <v>50</v>
      </c>
      <c r="E26" t="n">
        <v>46075</v>
      </c>
      <c r="F26" s="28" t="n">
        <v>0.005005</v>
      </c>
      <c r="G26" s="29" t="n">
        <v>0.77</v>
      </c>
      <c r="H26" s="29" t="n">
        <v>587.1</v>
      </c>
      <c r="I26" t="n">
        <v>5</v>
      </c>
      <c r="J26" t="n">
        <v>-5.1</v>
      </c>
      <c r="K26" t="n">
        <v>-5.1</v>
      </c>
    </row>
    <row r="28">
      <c r="A28" s="30" t="inlineStr">
        <is>
          <t>Actualizado desde MT5 (cuenta 51142, CLP) el 2026-08-19 14:41 hora Chile. No editar a mano: se regenera con scripts/simulador_gi.py. MODO SWAP 1 = puntos por día por lote; 5 = interés anual sobre el nocional (año de 360 días).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2026-08-19T18:41:54Z</dcterms:created>
  <dcterms:modified xsi:type="dcterms:W3CDTF">2026-08-19T18:41:54Z</dcterms:modified>
</cp:coreProperties>
</file>